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insidemedia-my.sharepoint.com/personal/sylas_xia_wppmedia_com/Documents/桌面/常用工具/画像3.0/"/>
    </mc:Choice>
  </mc:AlternateContent>
  <xr:revisionPtr revIDLastSave="3" documentId="11_BCCE28AAF4C3BA3E9668B6BCE990CE6A10E87B89" xr6:coauthVersionLast="47" xr6:coauthVersionMax="47" xr10:uidLastSave="{E69C485C-427D-49E9-85FE-E70E0E31C636}"/>
  <bookViews>
    <workbookView xWindow="28680" yWindow="-120" windowWidth="29040" windowHeight="15720" xr2:uid="{00000000-000D-0000-FFFF-FFFF00000000}"/>
  </bookViews>
  <sheets>
    <sheet name="3" sheetId="1" r:id="rId1"/>
    <sheet name="1" sheetId="2" r:id="rId2"/>
  </sheets>
  <definedNames>
    <definedName name="切片器_标签筛选">#N/A</definedName>
    <definedName name="切片器_标签筛选1">#N/A</definedName>
    <definedName name="切片器_列1">#N/A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14" i="1" l="1"/>
  <c r="K214" i="1"/>
  <c r="J214" i="1"/>
  <c r="I214" i="1"/>
  <c r="H214" i="1"/>
  <c r="G214" i="1"/>
  <c r="F214" i="1"/>
  <c r="E214" i="1"/>
  <c r="D214" i="1"/>
  <c r="L213" i="1"/>
  <c r="K213" i="1"/>
  <c r="J213" i="1"/>
  <c r="I213" i="1"/>
  <c r="H213" i="1"/>
  <c r="G213" i="1"/>
  <c r="F213" i="1"/>
  <c r="E213" i="1"/>
  <c r="D213" i="1"/>
  <c r="L212" i="1"/>
  <c r="K212" i="1"/>
  <c r="J212" i="1"/>
  <c r="I212" i="1"/>
  <c r="H212" i="1"/>
  <c r="G212" i="1"/>
  <c r="F212" i="1"/>
  <c r="E212" i="1"/>
  <c r="D212" i="1"/>
  <c r="L211" i="1"/>
  <c r="K211" i="1"/>
  <c r="J211" i="1"/>
  <c r="I211" i="1"/>
  <c r="H211" i="1"/>
  <c r="G211" i="1"/>
  <c r="F211" i="1"/>
  <c r="E211" i="1"/>
  <c r="D211" i="1"/>
  <c r="L210" i="1"/>
  <c r="K210" i="1"/>
  <c r="J210" i="1"/>
  <c r="I210" i="1"/>
  <c r="H210" i="1"/>
  <c r="G210" i="1"/>
  <c r="F210" i="1"/>
  <c r="E210" i="1"/>
  <c r="D210" i="1"/>
  <c r="L209" i="1"/>
  <c r="K209" i="1"/>
  <c r="J209" i="1"/>
  <c r="I209" i="1"/>
  <c r="H209" i="1"/>
  <c r="G209" i="1"/>
  <c r="F209" i="1"/>
  <c r="E209" i="1"/>
  <c r="D209" i="1"/>
  <c r="L208" i="1"/>
  <c r="K208" i="1"/>
  <c r="J208" i="1"/>
  <c r="I208" i="1"/>
  <c r="H208" i="1"/>
  <c r="G208" i="1"/>
  <c r="F208" i="1"/>
  <c r="E208" i="1"/>
  <c r="D208" i="1"/>
  <c r="L207" i="1"/>
  <c r="K207" i="1"/>
  <c r="J207" i="1"/>
  <c r="I207" i="1"/>
  <c r="H207" i="1"/>
  <c r="G207" i="1"/>
  <c r="F207" i="1"/>
  <c r="E207" i="1"/>
  <c r="D207" i="1"/>
  <c r="L206" i="1"/>
  <c r="K206" i="1"/>
  <c r="J206" i="1"/>
  <c r="I206" i="1"/>
  <c r="H206" i="1"/>
  <c r="G206" i="1"/>
  <c r="F206" i="1"/>
  <c r="E206" i="1"/>
  <c r="D206" i="1"/>
  <c r="L205" i="1"/>
  <c r="K205" i="1"/>
  <c r="J205" i="1"/>
  <c r="I205" i="1"/>
  <c r="H205" i="1"/>
  <c r="G205" i="1"/>
  <c r="F205" i="1"/>
  <c r="E205" i="1"/>
  <c r="D205" i="1"/>
  <c r="L204" i="1"/>
  <c r="K204" i="1"/>
  <c r="J204" i="1"/>
  <c r="I204" i="1"/>
  <c r="H204" i="1"/>
  <c r="G204" i="1"/>
  <c r="F204" i="1"/>
  <c r="E204" i="1"/>
  <c r="D204" i="1"/>
  <c r="L203" i="1"/>
  <c r="K203" i="1"/>
  <c r="J203" i="1"/>
  <c r="I203" i="1"/>
  <c r="H203" i="1"/>
  <c r="G203" i="1"/>
  <c r="F203" i="1"/>
  <c r="E203" i="1"/>
  <c r="D203" i="1"/>
  <c r="L202" i="1"/>
  <c r="K202" i="1"/>
  <c r="J202" i="1"/>
  <c r="I202" i="1"/>
  <c r="H202" i="1"/>
  <c r="G202" i="1"/>
  <c r="F202" i="1"/>
  <c r="E202" i="1"/>
  <c r="D202" i="1"/>
  <c r="L201" i="1"/>
  <c r="K201" i="1"/>
  <c r="J201" i="1"/>
  <c r="I201" i="1"/>
  <c r="H201" i="1"/>
  <c r="G201" i="1"/>
  <c r="F201" i="1"/>
  <c r="E201" i="1"/>
  <c r="D201" i="1"/>
  <c r="L200" i="1"/>
  <c r="K200" i="1"/>
  <c r="J200" i="1"/>
  <c r="I200" i="1"/>
  <c r="H200" i="1"/>
  <c r="G200" i="1"/>
  <c r="F200" i="1"/>
  <c r="E200" i="1"/>
  <c r="D200" i="1"/>
  <c r="L199" i="1"/>
  <c r="K199" i="1"/>
  <c r="J199" i="1"/>
  <c r="I199" i="1"/>
  <c r="H199" i="1"/>
  <c r="G199" i="1"/>
  <c r="F199" i="1"/>
  <c r="E199" i="1"/>
  <c r="D199" i="1"/>
  <c r="L198" i="1"/>
  <c r="K198" i="1"/>
  <c r="J198" i="1"/>
  <c r="I198" i="1"/>
  <c r="H198" i="1"/>
  <c r="G198" i="1"/>
  <c r="F198" i="1"/>
  <c r="E198" i="1"/>
  <c r="D198" i="1"/>
  <c r="L197" i="1"/>
  <c r="K197" i="1"/>
  <c r="J197" i="1"/>
  <c r="I197" i="1"/>
  <c r="H197" i="1"/>
  <c r="G197" i="1"/>
  <c r="F197" i="1"/>
  <c r="E197" i="1"/>
  <c r="D197" i="1"/>
  <c r="L196" i="1"/>
  <c r="K196" i="1"/>
  <c r="J196" i="1"/>
  <c r="I196" i="1"/>
  <c r="H196" i="1"/>
  <c r="G196" i="1"/>
  <c r="F196" i="1"/>
  <c r="E196" i="1"/>
  <c r="D196" i="1"/>
  <c r="L195" i="1"/>
  <c r="K195" i="1"/>
  <c r="J195" i="1"/>
  <c r="I195" i="1"/>
  <c r="H195" i="1"/>
  <c r="G195" i="1"/>
  <c r="F195" i="1"/>
  <c r="E195" i="1"/>
  <c r="D195" i="1"/>
  <c r="L194" i="1"/>
  <c r="K194" i="1"/>
  <c r="J194" i="1"/>
  <c r="I194" i="1"/>
  <c r="H194" i="1"/>
  <c r="G194" i="1"/>
  <c r="F194" i="1"/>
  <c r="E194" i="1"/>
  <c r="D194" i="1"/>
  <c r="L193" i="1"/>
  <c r="K193" i="1"/>
  <c r="J193" i="1"/>
  <c r="I193" i="1"/>
  <c r="H193" i="1"/>
  <c r="G193" i="1"/>
  <c r="F193" i="1"/>
  <c r="E193" i="1"/>
  <c r="D193" i="1"/>
  <c r="L192" i="1"/>
  <c r="K192" i="1"/>
  <c r="J192" i="1"/>
  <c r="I192" i="1"/>
  <c r="H192" i="1"/>
  <c r="G192" i="1"/>
  <c r="F192" i="1"/>
  <c r="E192" i="1"/>
  <c r="D192" i="1"/>
  <c r="L191" i="1"/>
  <c r="K191" i="1"/>
  <c r="J191" i="1"/>
  <c r="I191" i="1"/>
  <c r="H191" i="1"/>
  <c r="G191" i="1"/>
  <c r="F191" i="1"/>
  <c r="E191" i="1"/>
  <c r="D191" i="1"/>
  <c r="L190" i="1"/>
  <c r="K190" i="1"/>
  <c r="J190" i="1"/>
  <c r="I190" i="1"/>
  <c r="H190" i="1"/>
  <c r="G190" i="1"/>
  <c r="F190" i="1"/>
  <c r="E190" i="1"/>
  <c r="D190" i="1"/>
  <c r="L189" i="1"/>
  <c r="K189" i="1"/>
  <c r="J189" i="1"/>
  <c r="I189" i="1"/>
  <c r="H189" i="1"/>
  <c r="G189" i="1"/>
  <c r="F189" i="1"/>
  <c r="E189" i="1"/>
  <c r="D189" i="1"/>
  <c r="L188" i="1"/>
  <c r="K188" i="1"/>
  <c r="J188" i="1"/>
  <c r="I188" i="1"/>
  <c r="H188" i="1"/>
  <c r="G188" i="1"/>
  <c r="F188" i="1"/>
  <c r="E188" i="1"/>
  <c r="D188" i="1"/>
  <c r="L187" i="1"/>
  <c r="K187" i="1"/>
  <c r="J187" i="1"/>
  <c r="I187" i="1"/>
  <c r="H187" i="1"/>
  <c r="G187" i="1"/>
  <c r="F187" i="1"/>
  <c r="E187" i="1"/>
  <c r="D187" i="1"/>
  <c r="L186" i="1"/>
  <c r="K186" i="1"/>
  <c r="J186" i="1"/>
  <c r="I186" i="1"/>
  <c r="H186" i="1"/>
  <c r="G186" i="1"/>
  <c r="F186" i="1"/>
  <c r="E186" i="1"/>
  <c r="D186" i="1"/>
  <c r="L185" i="1"/>
  <c r="K185" i="1"/>
  <c r="J185" i="1"/>
  <c r="I185" i="1"/>
  <c r="H185" i="1"/>
  <c r="G185" i="1"/>
  <c r="F185" i="1"/>
  <c r="E185" i="1"/>
  <c r="D185" i="1"/>
  <c r="L184" i="1"/>
  <c r="K184" i="1"/>
  <c r="J184" i="1"/>
  <c r="I184" i="1"/>
  <c r="H184" i="1"/>
  <c r="G184" i="1"/>
  <c r="F184" i="1"/>
  <c r="E184" i="1"/>
  <c r="D184" i="1"/>
  <c r="L183" i="1"/>
  <c r="K183" i="1"/>
  <c r="J183" i="1"/>
  <c r="I183" i="1"/>
  <c r="H183" i="1"/>
  <c r="G183" i="1"/>
  <c r="F183" i="1"/>
  <c r="E183" i="1"/>
  <c r="D183" i="1"/>
  <c r="L182" i="1"/>
  <c r="K182" i="1"/>
  <c r="J182" i="1"/>
  <c r="I182" i="1"/>
  <c r="H182" i="1"/>
  <c r="G182" i="1"/>
  <c r="F182" i="1"/>
  <c r="E182" i="1"/>
  <c r="D182" i="1"/>
  <c r="L181" i="1"/>
  <c r="K181" i="1"/>
  <c r="J181" i="1"/>
  <c r="I181" i="1"/>
  <c r="H181" i="1"/>
  <c r="G181" i="1"/>
  <c r="F181" i="1"/>
  <c r="E181" i="1"/>
  <c r="D181" i="1"/>
  <c r="L180" i="1"/>
  <c r="K180" i="1"/>
  <c r="J180" i="1"/>
  <c r="I180" i="1"/>
  <c r="H180" i="1"/>
  <c r="G180" i="1"/>
  <c r="F180" i="1"/>
  <c r="E180" i="1"/>
  <c r="D180" i="1"/>
  <c r="L179" i="1"/>
  <c r="K179" i="1"/>
  <c r="J179" i="1"/>
  <c r="I179" i="1"/>
  <c r="H179" i="1"/>
  <c r="G179" i="1"/>
  <c r="F179" i="1"/>
  <c r="E179" i="1"/>
  <c r="D179" i="1"/>
  <c r="L178" i="1"/>
  <c r="K178" i="1"/>
  <c r="J178" i="1"/>
  <c r="I178" i="1"/>
  <c r="H178" i="1"/>
  <c r="G178" i="1"/>
  <c r="F178" i="1"/>
  <c r="E178" i="1"/>
  <c r="D178" i="1"/>
  <c r="L177" i="1"/>
  <c r="K177" i="1"/>
  <c r="J177" i="1"/>
  <c r="I177" i="1"/>
  <c r="H177" i="1"/>
  <c r="G177" i="1"/>
  <c r="F177" i="1"/>
  <c r="E177" i="1"/>
  <c r="D177" i="1"/>
  <c r="L176" i="1"/>
  <c r="K176" i="1"/>
  <c r="J176" i="1"/>
  <c r="I176" i="1"/>
  <c r="H176" i="1"/>
  <c r="G176" i="1"/>
  <c r="F176" i="1"/>
  <c r="E176" i="1"/>
  <c r="D176" i="1"/>
  <c r="L175" i="1"/>
  <c r="K175" i="1"/>
  <c r="J175" i="1"/>
  <c r="I175" i="1"/>
  <c r="H175" i="1"/>
  <c r="G175" i="1"/>
  <c r="F175" i="1"/>
  <c r="E175" i="1"/>
  <c r="D175" i="1"/>
  <c r="L174" i="1"/>
  <c r="K174" i="1"/>
  <c r="J174" i="1"/>
  <c r="I174" i="1"/>
  <c r="H174" i="1"/>
  <c r="G174" i="1"/>
  <c r="F174" i="1"/>
  <c r="E174" i="1"/>
  <c r="D174" i="1"/>
  <c r="L173" i="1"/>
  <c r="K173" i="1"/>
  <c r="J173" i="1"/>
  <c r="I173" i="1"/>
  <c r="H173" i="1"/>
  <c r="G173" i="1"/>
  <c r="F173" i="1"/>
  <c r="E173" i="1"/>
  <c r="D173" i="1"/>
  <c r="L172" i="1"/>
  <c r="K172" i="1"/>
  <c r="J172" i="1"/>
  <c r="I172" i="1"/>
  <c r="H172" i="1"/>
  <c r="G172" i="1"/>
  <c r="F172" i="1"/>
  <c r="E172" i="1"/>
  <c r="D172" i="1"/>
  <c r="L171" i="1"/>
  <c r="K171" i="1"/>
  <c r="J171" i="1"/>
  <c r="I171" i="1"/>
  <c r="H171" i="1"/>
  <c r="G171" i="1"/>
  <c r="F171" i="1"/>
  <c r="E171" i="1"/>
  <c r="D171" i="1"/>
  <c r="L170" i="1"/>
  <c r="K170" i="1"/>
  <c r="J170" i="1"/>
  <c r="I170" i="1"/>
  <c r="H170" i="1"/>
  <c r="G170" i="1"/>
  <c r="F170" i="1"/>
  <c r="E170" i="1"/>
  <c r="D170" i="1"/>
  <c r="L169" i="1"/>
  <c r="K169" i="1"/>
  <c r="J169" i="1"/>
  <c r="I169" i="1"/>
  <c r="H169" i="1"/>
  <c r="G169" i="1"/>
  <c r="F169" i="1"/>
  <c r="E169" i="1"/>
  <c r="D169" i="1"/>
  <c r="L168" i="1"/>
  <c r="K168" i="1"/>
  <c r="J168" i="1"/>
  <c r="I168" i="1"/>
  <c r="H168" i="1"/>
  <c r="G168" i="1"/>
  <c r="F168" i="1"/>
  <c r="E168" i="1"/>
  <c r="D168" i="1"/>
  <c r="L167" i="1"/>
  <c r="K167" i="1"/>
  <c r="J167" i="1"/>
  <c r="I167" i="1"/>
  <c r="H167" i="1"/>
  <c r="G167" i="1"/>
  <c r="F167" i="1"/>
  <c r="E167" i="1"/>
  <c r="D167" i="1"/>
  <c r="L166" i="1"/>
  <c r="K166" i="1"/>
  <c r="J166" i="1"/>
  <c r="I166" i="1"/>
  <c r="H166" i="1"/>
  <c r="G166" i="1"/>
  <c r="F166" i="1"/>
  <c r="E166" i="1"/>
  <c r="D166" i="1"/>
  <c r="L165" i="1"/>
  <c r="K165" i="1"/>
  <c r="J165" i="1"/>
  <c r="I165" i="1"/>
  <c r="H165" i="1"/>
  <c r="G165" i="1"/>
  <c r="F165" i="1"/>
  <c r="E165" i="1"/>
  <c r="D165" i="1"/>
  <c r="L164" i="1"/>
  <c r="K164" i="1"/>
  <c r="J164" i="1"/>
  <c r="I164" i="1"/>
  <c r="H164" i="1"/>
  <c r="G164" i="1"/>
  <c r="F164" i="1"/>
  <c r="E164" i="1"/>
  <c r="D164" i="1"/>
  <c r="L163" i="1"/>
  <c r="K163" i="1"/>
  <c r="J163" i="1"/>
  <c r="I163" i="1"/>
  <c r="H163" i="1"/>
  <c r="G163" i="1"/>
  <c r="F163" i="1"/>
  <c r="E163" i="1"/>
  <c r="D163" i="1"/>
  <c r="L162" i="1"/>
  <c r="K162" i="1"/>
  <c r="J162" i="1"/>
  <c r="I162" i="1"/>
  <c r="H162" i="1"/>
  <c r="G162" i="1"/>
  <c r="F162" i="1"/>
  <c r="E162" i="1"/>
  <c r="D162" i="1"/>
  <c r="L161" i="1"/>
  <c r="K161" i="1"/>
  <c r="J161" i="1"/>
  <c r="I161" i="1"/>
  <c r="H161" i="1"/>
  <c r="G161" i="1"/>
  <c r="F161" i="1"/>
  <c r="E161" i="1"/>
  <c r="D161" i="1"/>
  <c r="L160" i="1"/>
  <c r="K160" i="1"/>
  <c r="J160" i="1"/>
  <c r="I160" i="1"/>
  <c r="H160" i="1"/>
  <c r="G160" i="1"/>
  <c r="F160" i="1"/>
  <c r="E160" i="1"/>
  <c r="D160" i="1"/>
  <c r="L159" i="1"/>
  <c r="K159" i="1"/>
  <c r="J159" i="1"/>
  <c r="I159" i="1"/>
  <c r="H159" i="1"/>
  <c r="G159" i="1"/>
  <c r="F159" i="1"/>
  <c r="E159" i="1"/>
  <c r="D159" i="1"/>
  <c r="L158" i="1"/>
  <c r="K158" i="1"/>
  <c r="J158" i="1"/>
  <c r="I158" i="1"/>
  <c r="H158" i="1"/>
  <c r="G158" i="1"/>
  <c r="F158" i="1"/>
  <c r="E158" i="1"/>
  <c r="D158" i="1"/>
  <c r="L157" i="1"/>
  <c r="K157" i="1"/>
  <c r="J157" i="1"/>
  <c r="I157" i="1"/>
  <c r="H157" i="1"/>
  <c r="G157" i="1"/>
  <c r="F157" i="1"/>
  <c r="E157" i="1"/>
  <c r="D157" i="1"/>
  <c r="L156" i="1"/>
  <c r="K156" i="1"/>
  <c r="J156" i="1"/>
  <c r="I156" i="1"/>
  <c r="H156" i="1"/>
  <c r="G156" i="1"/>
  <c r="F156" i="1"/>
  <c r="E156" i="1"/>
  <c r="D156" i="1"/>
  <c r="L155" i="1"/>
  <c r="K155" i="1"/>
  <c r="J155" i="1"/>
  <c r="I155" i="1"/>
  <c r="H155" i="1"/>
  <c r="G155" i="1"/>
  <c r="F155" i="1"/>
  <c r="E155" i="1"/>
  <c r="D155" i="1"/>
  <c r="L154" i="1"/>
  <c r="K154" i="1"/>
  <c r="J154" i="1"/>
  <c r="I154" i="1"/>
  <c r="H154" i="1"/>
  <c r="G154" i="1"/>
  <c r="F154" i="1"/>
  <c r="E154" i="1"/>
  <c r="D154" i="1"/>
  <c r="L153" i="1"/>
  <c r="K153" i="1"/>
  <c r="J153" i="1"/>
  <c r="I153" i="1"/>
  <c r="H153" i="1"/>
  <c r="G153" i="1"/>
  <c r="F153" i="1"/>
  <c r="E153" i="1"/>
  <c r="D153" i="1"/>
  <c r="L152" i="1"/>
  <c r="K152" i="1"/>
  <c r="J152" i="1"/>
  <c r="I152" i="1"/>
  <c r="H152" i="1"/>
  <c r="G152" i="1"/>
  <c r="F152" i="1"/>
  <c r="E152" i="1"/>
  <c r="D152" i="1"/>
  <c r="L151" i="1"/>
  <c r="K151" i="1"/>
  <c r="J151" i="1"/>
  <c r="I151" i="1"/>
  <c r="H151" i="1"/>
  <c r="G151" i="1"/>
  <c r="F151" i="1"/>
  <c r="E151" i="1"/>
  <c r="D151" i="1"/>
  <c r="L150" i="1"/>
  <c r="K150" i="1"/>
  <c r="J150" i="1"/>
  <c r="I150" i="1"/>
  <c r="H150" i="1"/>
  <c r="G150" i="1"/>
  <c r="F150" i="1"/>
  <c r="E150" i="1"/>
  <c r="D150" i="1"/>
  <c r="L149" i="1"/>
  <c r="K149" i="1"/>
  <c r="J149" i="1"/>
  <c r="I149" i="1"/>
  <c r="H149" i="1"/>
  <c r="G149" i="1"/>
  <c r="F149" i="1"/>
  <c r="E149" i="1"/>
  <c r="D149" i="1"/>
  <c r="L148" i="1"/>
  <c r="K148" i="1"/>
  <c r="J148" i="1"/>
  <c r="I148" i="1"/>
  <c r="H148" i="1"/>
  <c r="G148" i="1"/>
  <c r="F148" i="1"/>
  <c r="E148" i="1"/>
  <c r="D148" i="1"/>
  <c r="L147" i="1"/>
  <c r="K147" i="1"/>
  <c r="J147" i="1"/>
  <c r="I147" i="1"/>
  <c r="H147" i="1"/>
  <c r="G147" i="1"/>
  <c r="F147" i="1"/>
  <c r="E147" i="1"/>
  <c r="D147" i="1"/>
  <c r="L146" i="1"/>
  <c r="K146" i="1"/>
  <c r="J146" i="1"/>
  <c r="I146" i="1"/>
  <c r="H146" i="1"/>
  <c r="G146" i="1"/>
  <c r="F146" i="1"/>
  <c r="E146" i="1"/>
  <c r="D146" i="1"/>
  <c r="L145" i="1"/>
  <c r="K145" i="1"/>
  <c r="J145" i="1"/>
  <c r="I145" i="1"/>
  <c r="H145" i="1"/>
  <c r="G145" i="1"/>
  <c r="F145" i="1"/>
  <c r="E145" i="1"/>
  <c r="D145" i="1"/>
  <c r="L144" i="1"/>
  <c r="K144" i="1"/>
  <c r="J144" i="1"/>
  <c r="I144" i="1"/>
  <c r="H144" i="1"/>
  <c r="G144" i="1"/>
  <c r="F144" i="1"/>
  <c r="E144" i="1"/>
  <c r="D144" i="1"/>
  <c r="L143" i="1"/>
  <c r="K143" i="1"/>
  <c r="J143" i="1"/>
  <c r="I143" i="1"/>
  <c r="H143" i="1"/>
  <c r="G143" i="1"/>
  <c r="F143" i="1"/>
  <c r="E143" i="1"/>
  <c r="D143" i="1"/>
  <c r="L142" i="1"/>
  <c r="K142" i="1"/>
  <c r="J142" i="1"/>
  <c r="I142" i="1"/>
  <c r="H142" i="1"/>
  <c r="G142" i="1"/>
  <c r="F142" i="1"/>
  <c r="E142" i="1"/>
  <c r="D142" i="1"/>
  <c r="L141" i="1"/>
  <c r="K141" i="1"/>
  <c r="J141" i="1"/>
  <c r="I141" i="1"/>
  <c r="H141" i="1"/>
  <c r="G141" i="1"/>
  <c r="F141" i="1"/>
  <c r="E141" i="1"/>
  <c r="D141" i="1"/>
  <c r="L140" i="1"/>
  <c r="K140" i="1"/>
  <c r="J140" i="1"/>
  <c r="I140" i="1"/>
  <c r="H140" i="1"/>
  <c r="G140" i="1"/>
  <c r="F140" i="1"/>
  <c r="E140" i="1"/>
  <c r="D140" i="1"/>
  <c r="L139" i="1"/>
  <c r="K139" i="1"/>
  <c r="J139" i="1"/>
  <c r="I139" i="1"/>
  <c r="H139" i="1"/>
  <c r="G139" i="1"/>
  <c r="F139" i="1"/>
  <c r="E139" i="1"/>
  <c r="D139" i="1"/>
  <c r="L138" i="1"/>
  <c r="K138" i="1"/>
  <c r="J138" i="1"/>
  <c r="I138" i="1"/>
  <c r="H138" i="1"/>
  <c r="G138" i="1"/>
  <c r="F138" i="1"/>
  <c r="E138" i="1"/>
  <c r="D138" i="1"/>
  <c r="L137" i="1"/>
  <c r="K137" i="1"/>
  <c r="J137" i="1"/>
  <c r="I137" i="1"/>
  <c r="H137" i="1"/>
  <c r="G137" i="1"/>
  <c r="F137" i="1"/>
  <c r="E137" i="1"/>
  <c r="D137" i="1"/>
  <c r="L136" i="1"/>
  <c r="K136" i="1"/>
  <c r="J136" i="1"/>
  <c r="I136" i="1"/>
  <c r="H136" i="1"/>
  <c r="G136" i="1"/>
  <c r="F136" i="1"/>
  <c r="E136" i="1"/>
  <c r="D136" i="1"/>
  <c r="L135" i="1"/>
  <c r="K135" i="1"/>
  <c r="J135" i="1"/>
  <c r="I135" i="1"/>
  <c r="H135" i="1"/>
  <c r="G135" i="1"/>
  <c r="F135" i="1"/>
  <c r="E135" i="1"/>
  <c r="D135" i="1"/>
  <c r="L134" i="1"/>
  <c r="K134" i="1"/>
  <c r="J134" i="1"/>
  <c r="I134" i="1"/>
  <c r="H134" i="1"/>
  <c r="G134" i="1"/>
  <c r="F134" i="1"/>
  <c r="E134" i="1"/>
  <c r="D134" i="1"/>
  <c r="L133" i="1"/>
  <c r="K133" i="1"/>
  <c r="J133" i="1"/>
  <c r="I133" i="1"/>
  <c r="H133" i="1"/>
  <c r="G133" i="1"/>
  <c r="F133" i="1"/>
  <c r="E133" i="1"/>
  <c r="D133" i="1"/>
  <c r="L132" i="1"/>
  <c r="K132" i="1"/>
  <c r="J132" i="1"/>
  <c r="I132" i="1"/>
  <c r="H132" i="1"/>
  <c r="G132" i="1"/>
  <c r="F132" i="1"/>
  <c r="E132" i="1"/>
  <c r="D132" i="1"/>
  <c r="L131" i="1"/>
  <c r="K131" i="1"/>
  <c r="J131" i="1"/>
  <c r="I131" i="1"/>
  <c r="H131" i="1"/>
  <c r="G131" i="1"/>
  <c r="F131" i="1"/>
  <c r="E131" i="1"/>
  <c r="D131" i="1"/>
  <c r="L130" i="1"/>
  <c r="K130" i="1"/>
  <c r="J130" i="1"/>
  <c r="I130" i="1"/>
  <c r="H130" i="1"/>
  <c r="G130" i="1"/>
  <c r="F130" i="1"/>
  <c r="E130" i="1"/>
  <c r="D130" i="1"/>
  <c r="L129" i="1"/>
  <c r="K129" i="1"/>
  <c r="J129" i="1"/>
  <c r="I129" i="1"/>
  <c r="H129" i="1"/>
  <c r="G129" i="1"/>
  <c r="F129" i="1"/>
  <c r="E129" i="1"/>
  <c r="D129" i="1"/>
  <c r="L128" i="1"/>
  <c r="K128" i="1"/>
  <c r="J128" i="1"/>
  <c r="I128" i="1"/>
  <c r="H128" i="1"/>
  <c r="G128" i="1"/>
  <c r="F128" i="1"/>
  <c r="E128" i="1"/>
  <c r="D128" i="1"/>
  <c r="L127" i="1"/>
  <c r="K127" i="1"/>
  <c r="J127" i="1"/>
  <c r="I127" i="1"/>
  <c r="H127" i="1"/>
  <c r="G127" i="1"/>
  <c r="F127" i="1"/>
  <c r="E127" i="1"/>
  <c r="D127" i="1"/>
  <c r="L126" i="1"/>
  <c r="K126" i="1"/>
  <c r="J126" i="1"/>
  <c r="I126" i="1"/>
  <c r="H126" i="1"/>
  <c r="G126" i="1"/>
  <c r="F126" i="1"/>
  <c r="E126" i="1"/>
  <c r="D126" i="1"/>
  <c r="L125" i="1"/>
  <c r="K125" i="1"/>
  <c r="J125" i="1"/>
  <c r="I125" i="1"/>
  <c r="H125" i="1"/>
  <c r="G125" i="1"/>
  <c r="F125" i="1"/>
  <c r="E125" i="1"/>
  <c r="D125" i="1"/>
  <c r="L124" i="1"/>
  <c r="K124" i="1"/>
  <c r="J124" i="1"/>
  <c r="I124" i="1"/>
  <c r="H124" i="1"/>
  <c r="G124" i="1"/>
  <c r="F124" i="1"/>
  <c r="E124" i="1"/>
  <c r="D124" i="1"/>
  <c r="L123" i="1"/>
  <c r="K123" i="1"/>
  <c r="J123" i="1"/>
  <c r="I123" i="1"/>
  <c r="H123" i="1"/>
  <c r="G123" i="1"/>
  <c r="F123" i="1"/>
  <c r="E123" i="1"/>
  <c r="D123" i="1"/>
  <c r="L122" i="1"/>
  <c r="K122" i="1"/>
  <c r="J122" i="1"/>
  <c r="I122" i="1"/>
  <c r="H122" i="1"/>
  <c r="G122" i="1"/>
  <c r="F122" i="1"/>
  <c r="E122" i="1"/>
  <c r="D122" i="1"/>
  <c r="L121" i="1"/>
  <c r="K121" i="1"/>
  <c r="J121" i="1"/>
  <c r="I121" i="1"/>
  <c r="H121" i="1"/>
  <c r="G121" i="1"/>
  <c r="F121" i="1"/>
  <c r="E121" i="1"/>
  <c r="D121" i="1"/>
  <c r="L120" i="1"/>
  <c r="K120" i="1"/>
  <c r="J120" i="1"/>
  <c r="I120" i="1"/>
  <c r="H120" i="1"/>
  <c r="G120" i="1"/>
  <c r="F120" i="1"/>
  <c r="E120" i="1"/>
  <c r="D120" i="1"/>
  <c r="L119" i="1"/>
  <c r="K119" i="1"/>
  <c r="J119" i="1"/>
  <c r="I119" i="1"/>
  <c r="H119" i="1"/>
  <c r="G119" i="1"/>
  <c r="F119" i="1"/>
  <c r="E119" i="1"/>
  <c r="D119" i="1"/>
  <c r="L118" i="1"/>
  <c r="K118" i="1"/>
  <c r="J118" i="1"/>
  <c r="I118" i="1"/>
  <c r="H118" i="1"/>
  <c r="G118" i="1"/>
  <c r="F118" i="1"/>
  <c r="E118" i="1"/>
  <c r="D118" i="1"/>
  <c r="L117" i="1"/>
  <c r="K117" i="1"/>
  <c r="J117" i="1"/>
  <c r="I117" i="1"/>
  <c r="H117" i="1"/>
  <c r="G117" i="1"/>
  <c r="F117" i="1"/>
  <c r="E117" i="1"/>
  <c r="D117" i="1"/>
  <c r="L116" i="1"/>
  <c r="K116" i="1"/>
  <c r="J116" i="1"/>
  <c r="I116" i="1"/>
  <c r="H116" i="1"/>
  <c r="G116" i="1"/>
  <c r="F116" i="1"/>
  <c r="E116" i="1"/>
  <c r="D116" i="1"/>
  <c r="L115" i="1"/>
  <c r="K115" i="1"/>
  <c r="J115" i="1"/>
  <c r="I115" i="1"/>
  <c r="H115" i="1"/>
  <c r="G115" i="1"/>
  <c r="F115" i="1"/>
  <c r="E115" i="1"/>
  <c r="D115" i="1"/>
  <c r="L114" i="1"/>
  <c r="K114" i="1"/>
  <c r="J114" i="1"/>
  <c r="I114" i="1"/>
  <c r="H114" i="1"/>
  <c r="G114" i="1"/>
  <c r="F114" i="1"/>
  <c r="E114" i="1"/>
  <c r="D114" i="1"/>
  <c r="L113" i="1"/>
  <c r="K113" i="1"/>
  <c r="J113" i="1"/>
  <c r="I113" i="1"/>
  <c r="H113" i="1"/>
  <c r="G113" i="1"/>
  <c r="F113" i="1"/>
  <c r="E113" i="1"/>
  <c r="D113" i="1"/>
  <c r="L112" i="1"/>
  <c r="K112" i="1"/>
  <c r="J112" i="1"/>
  <c r="I112" i="1"/>
  <c r="H112" i="1"/>
  <c r="G112" i="1"/>
  <c r="F112" i="1"/>
  <c r="E112" i="1"/>
  <c r="D112" i="1"/>
  <c r="L111" i="1"/>
  <c r="K111" i="1"/>
  <c r="J111" i="1"/>
  <c r="I111" i="1"/>
  <c r="H111" i="1"/>
  <c r="G111" i="1"/>
  <c r="F111" i="1"/>
  <c r="E111" i="1"/>
  <c r="D111" i="1"/>
  <c r="L110" i="1"/>
  <c r="K110" i="1"/>
  <c r="J110" i="1"/>
  <c r="I110" i="1"/>
  <c r="H110" i="1"/>
  <c r="G110" i="1"/>
  <c r="F110" i="1"/>
  <c r="E110" i="1"/>
  <c r="D110" i="1"/>
  <c r="L109" i="1"/>
  <c r="K109" i="1"/>
  <c r="J109" i="1"/>
  <c r="I109" i="1"/>
  <c r="H109" i="1"/>
  <c r="G109" i="1"/>
  <c r="F109" i="1"/>
  <c r="E109" i="1"/>
  <c r="D109" i="1"/>
  <c r="L108" i="1"/>
  <c r="K108" i="1"/>
  <c r="J108" i="1"/>
  <c r="I108" i="1"/>
  <c r="H108" i="1"/>
  <c r="G108" i="1"/>
  <c r="F108" i="1"/>
  <c r="E108" i="1"/>
  <c r="D108" i="1"/>
  <c r="L107" i="1"/>
  <c r="K107" i="1"/>
  <c r="J107" i="1"/>
  <c r="I107" i="1"/>
  <c r="H107" i="1"/>
  <c r="G107" i="1"/>
  <c r="F107" i="1"/>
  <c r="E107" i="1"/>
  <c r="D107" i="1"/>
  <c r="L106" i="1"/>
  <c r="K106" i="1"/>
  <c r="J106" i="1"/>
  <c r="I106" i="1"/>
  <c r="H106" i="1"/>
  <c r="G106" i="1"/>
  <c r="F106" i="1"/>
  <c r="E106" i="1"/>
  <c r="D106" i="1"/>
  <c r="L105" i="1"/>
  <c r="K105" i="1"/>
  <c r="J105" i="1"/>
  <c r="I105" i="1"/>
  <c r="H105" i="1"/>
  <c r="G105" i="1"/>
  <c r="F105" i="1"/>
  <c r="E105" i="1"/>
  <c r="D105" i="1"/>
  <c r="L104" i="1"/>
  <c r="K104" i="1"/>
  <c r="J104" i="1"/>
  <c r="I104" i="1"/>
  <c r="H104" i="1"/>
  <c r="G104" i="1"/>
  <c r="F104" i="1"/>
  <c r="E104" i="1"/>
  <c r="D104" i="1"/>
  <c r="L103" i="1"/>
  <c r="K103" i="1"/>
  <c r="J103" i="1"/>
  <c r="I103" i="1"/>
  <c r="H103" i="1"/>
  <c r="G103" i="1"/>
  <c r="F103" i="1"/>
  <c r="E103" i="1"/>
  <c r="D103" i="1"/>
  <c r="L102" i="1"/>
  <c r="K102" i="1"/>
  <c r="J102" i="1"/>
  <c r="I102" i="1"/>
  <c r="H102" i="1"/>
  <c r="G102" i="1"/>
  <c r="F102" i="1"/>
  <c r="E102" i="1"/>
  <c r="D102" i="1"/>
  <c r="L101" i="1"/>
  <c r="K101" i="1"/>
  <c r="J101" i="1"/>
  <c r="I101" i="1"/>
  <c r="H101" i="1"/>
  <c r="G101" i="1"/>
  <c r="F101" i="1"/>
  <c r="E101" i="1"/>
  <c r="D101" i="1"/>
  <c r="L100" i="1"/>
  <c r="K100" i="1"/>
  <c r="J100" i="1"/>
  <c r="I100" i="1"/>
  <c r="H100" i="1"/>
  <c r="G100" i="1"/>
  <c r="F100" i="1"/>
  <c r="E100" i="1"/>
  <c r="D100" i="1"/>
  <c r="L99" i="1"/>
  <c r="K99" i="1"/>
  <c r="J99" i="1"/>
  <c r="I99" i="1"/>
  <c r="H99" i="1"/>
  <c r="G99" i="1"/>
  <c r="F99" i="1"/>
  <c r="E99" i="1"/>
  <c r="D99" i="1"/>
  <c r="L98" i="1"/>
  <c r="K98" i="1"/>
  <c r="J98" i="1"/>
  <c r="I98" i="1"/>
  <c r="H98" i="1"/>
  <c r="G98" i="1"/>
  <c r="F98" i="1"/>
  <c r="E98" i="1"/>
  <c r="D98" i="1"/>
  <c r="L97" i="1"/>
  <c r="K97" i="1"/>
  <c r="J97" i="1"/>
  <c r="I97" i="1"/>
  <c r="H97" i="1"/>
  <c r="G97" i="1"/>
  <c r="F97" i="1"/>
  <c r="E97" i="1"/>
  <c r="D97" i="1"/>
  <c r="L96" i="1"/>
  <c r="K96" i="1"/>
  <c r="J96" i="1"/>
  <c r="I96" i="1"/>
  <c r="H96" i="1"/>
  <c r="G96" i="1"/>
  <c r="F96" i="1"/>
  <c r="E96" i="1"/>
  <c r="D96" i="1"/>
  <c r="L95" i="1"/>
  <c r="K95" i="1"/>
  <c r="J95" i="1"/>
  <c r="I95" i="1"/>
  <c r="H95" i="1"/>
  <c r="G95" i="1"/>
  <c r="F95" i="1"/>
  <c r="E95" i="1"/>
  <c r="D95" i="1"/>
  <c r="L94" i="1"/>
  <c r="K94" i="1"/>
  <c r="J94" i="1"/>
  <c r="I94" i="1"/>
  <c r="H94" i="1"/>
  <c r="G94" i="1"/>
  <c r="F94" i="1"/>
  <c r="E94" i="1"/>
  <c r="D94" i="1"/>
  <c r="L93" i="1"/>
  <c r="K93" i="1"/>
  <c r="J93" i="1"/>
  <c r="I93" i="1"/>
  <c r="H93" i="1"/>
  <c r="G93" i="1"/>
  <c r="F93" i="1"/>
  <c r="E93" i="1"/>
  <c r="D93" i="1"/>
  <c r="L92" i="1"/>
  <c r="K92" i="1"/>
  <c r="J92" i="1"/>
  <c r="I92" i="1"/>
  <c r="H92" i="1"/>
  <c r="G92" i="1"/>
  <c r="F92" i="1"/>
  <c r="E92" i="1"/>
  <c r="D92" i="1"/>
  <c r="L91" i="1"/>
  <c r="K91" i="1"/>
  <c r="J91" i="1"/>
  <c r="I91" i="1"/>
  <c r="H91" i="1"/>
  <c r="G91" i="1"/>
  <c r="F91" i="1"/>
  <c r="E91" i="1"/>
  <c r="D91" i="1"/>
  <c r="L90" i="1"/>
  <c r="K90" i="1"/>
  <c r="J90" i="1"/>
  <c r="I90" i="1"/>
  <c r="H90" i="1"/>
  <c r="G90" i="1"/>
  <c r="F90" i="1"/>
  <c r="E90" i="1"/>
  <c r="D90" i="1"/>
  <c r="L89" i="1"/>
  <c r="K89" i="1"/>
  <c r="J89" i="1"/>
  <c r="I89" i="1"/>
  <c r="H89" i="1"/>
  <c r="G89" i="1"/>
  <c r="F89" i="1"/>
  <c r="E89" i="1"/>
  <c r="D89" i="1"/>
  <c r="L88" i="1"/>
  <c r="K88" i="1"/>
  <c r="J88" i="1"/>
  <c r="I88" i="1"/>
  <c r="H88" i="1"/>
  <c r="G88" i="1"/>
  <c r="F88" i="1"/>
  <c r="E88" i="1"/>
  <c r="D88" i="1"/>
  <c r="L87" i="1"/>
  <c r="K87" i="1"/>
  <c r="J87" i="1"/>
  <c r="I87" i="1"/>
  <c r="H87" i="1"/>
  <c r="G87" i="1"/>
  <c r="F87" i="1"/>
  <c r="E87" i="1"/>
  <c r="D87" i="1"/>
  <c r="L86" i="1"/>
  <c r="K86" i="1"/>
  <c r="J86" i="1"/>
  <c r="I86" i="1"/>
  <c r="H86" i="1"/>
  <c r="G86" i="1"/>
  <c r="F86" i="1"/>
  <c r="E86" i="1"/>
  <c r="D86" i="1"/>
  <c r="L85" i="1"/>
  <c r="K85" i="1"/>
  <c r="J85" i="1"/>
  <c r="I85" i="1"/>
  <c r="H85" i="1"/>
  <c r="G85" i="1"/>
  <c r="F85" i="1"/>
  <c r="E85" i="1"/>
  <c r="D85" i="1"/>
  <c r="L84" i="1"/>
  <c r="K84" i="1"/>
  <c r="J84" i="1"/>
  <c r="I84" i="1"/>
  <c r="H84" i="1"/>
  <c r="G84" i="1"/>
  <c r="F84" i="1"/>
  <c r="E84" i="1"/>
  <c r="D84" i="1"/>
  <c r="L83" i="1"/>
  <c r="K83" i="1"/>
  <c r="J83" i="1"/>
  <c r="I83" i="1"/>
  <c r="H83" i="1"/>
  <c r="G83" i="1"/>
  <c r="F83" i="1"/>
  <c r="E83" i="1"/>
  <c r="D83" i="1"/>
  <c r="L82" i="1"/>
  <c r="K82" i="1"/>
  <c r="J82" i="1"/>
  <c r="I82" i="1"/>
  <c r="H82" i="1"/>
  <c r="G82" i="1"/>
  <c r="F82" i="1"/>
  <c r="E82" i="1"/>
  <c r="D82" i="1"/>
  <c r="L81" i="1"/>
  <c r="K81" i="1"/>
  <c r="J81" i="1"/>
  <c r="I81" i="1"/>
  <c r="H81" i="1"/>
  <c r="G81" i="1"/>
  <c r="F81" i="1"/>
  <c r="E81" i="1"/>
  <c r="D81" i="1"/>
  <c r="L80" i="1"/>
  <c r="K80" i="1"/>
  <c r="J80" i="1"/>
  <c r="I80" i="1"/>
  <c r="H80" i="1"/>
  <c r="G80" i="1"/>
  <c r="F80" i="1"/>
  <c r="E80" i="1"/>
  <c r="D80" i="1"/>
  <c r="L79" i="1"/>
  <c r="K79" i="1"/>
  <c r="J79" i="1"/>
  <c r="I79" i="1"/>
  <c r="H79" i="1"/>
  <c r="G79" i="1"/>
  <c r="F79" i="1"/>
  <c r="E79" i="1"/>
  <c r="D79" i="1"/>
  <c r="L78" i="1"/>
  <c r="K78" i="1"/>
  <c r="J78" i="1"/>
  <c r="I78" i="1"/>
  <c r="H78" i="1"/>
  <c r="G78" i="1"/>
  <c r="F78" i="1"/>
  <c r="E78" i="1"/>
  <c r="D78" i="1"/>
  <c r="L77" i="1"/>
  <c r="K77" i="1"/>
  <c r="J77" i="1"/>
  <c r="I77" i="1"/>
  <c r="H77" i="1"/>
  <c r="G77" i="1"/>
  <c r="F77" i="1"/>
  <c r="E77" i="1"/>
  <c r="D77" i="1"/>
  <c r="L76" i="1"/>
  <c r="K76" i="1"/>
  <c r="J76" i="1"/>
  <c r="I76" i="1"/>
  <c r="H76" i="1"/>
  <c r="G76" i="1"/>
  <c r="F76" i="1"/>
  <c r="E76" i="1"/>
  <c r="D76" i="1"/>
  <c r="L75" i="1"/>
  <c r="K75" i="1"/>
  <c r="J75" i="1"/>
  <c r="I75" i="1"/>
  <c r="H75" i="1"/>
  <c r="G75" i="1"/>
  <c r="F75" i="1"/>
  <c r="E75" i="1"/>
  <c r="D75" i="1"/>
  <c r="L74" i="1"/>
  <c r="K74" i="1"/>
  <c r="J74" i="1"/>
  <c r="I74" i="1"/>
  <c r="H74" i="1"/>
  <c r="G74" i="1"/>
  <c r="F74" i="1"/>
  <c r="E74" i="1"/>
  <c r="D74" i="1"/>
  <c r="L73" i="1"/>
  <c r="K73" i="1"/>
  <c r="J73" i="1"/>
  <c r="I73" i="1"/>
  <c r="H73" i="1"/>
  <c r="G73" i="1"/>
  <c r="F73" i="1"/>
  <c r="E73" i="1"/>
  <c r="D73" i="1"/>
  <c r="L72" i="1"/>
  <c r="K72" i="1"/>
  <c r="J72" i="1"/>
  <c r="I72" i="1"/>
  <c r="H72" i="1"/>
  <c r="G72" i="1"/>
  <c r="F72" i="1"/>
  <c r="E72" i="1"/>
  <c r="D72" i="1"/>
  <c r="L71" i="1"/>
  <c r="K71" i="1"/>
  <c r="J71" i="1"/>
  <c r="I71" i="1"/>
  <c r="H71" i="1"/>
  <c r="G71" i="1"/>
  <c r="F71" i="1"/>
  <c r="E71" i="1"/>
  <c r="D71" i="1"/>
  <c r="L70" i="1"/>
  <c r="K70" i="1"/>
  <c r="J70" i="1"/>
  <c r="I70" i="1"/>
  <c r="H70" i="1"/>
  <c r="G70" i="1"/>
  <c r="F70" i="1"/>
  <c r="E70" i="1"/>
  <c r="D70" i="1"/>
  <c r="L69" i="1"/>
  <c r="K69" i="1"/>
  <c r="J69" i="1"/>
  <c r="I69" i="1"/>
  <c r="H69" i="1"/>
  <c r="G69" i="1"/>
  <c r="F69" i="1"/>
  <c r="E69" i="1"/>
  <c r="D69" i="1"/>
  <c r="L68" i="1"/>
  <c r="K68" i="1"/>
  <c r="J68" i="1"/>
  <c r="I68" i="1"/>
  <c r="H68" i="1"/>
  <c r="G68" i="1"/>
  <c r="F68" i="1"/>
  <c r="E68" i="1"/>
  <c r="D68" i="1"/>
  <c r="L67" i="1"/>
  <c r="K67" i="1"/>
  <c r="J67" i="1"/>
  <c r="I67" i="1"/>
  <c r="H67" i="1"/>
  <c r="G67" i="1"/>
  <c r="F67" i="1"/>
  <c r="E67" i="1"/>
  <c r="D67" i="1"/>
  <c r="L66" i="1"/>
  <c r="K66" i="1"/>
  <c r="J66" i="1"/>
  <c r="I66" i="1"/>
  <c r="H66" i="1"/>
  <c r="G66" i="1"/>
  <c r="F66" i="1"/>
  <c r="E66" i="1"/>
  <c r="D66" i="1"/>
  <c r="L65" i="1"/>
  <c r="K65" i="1"/>
  <c r="J65" i="1"/>
  <c r="I65" i="1"/>
  <c r="H65" i="1"/>
  <c r="G65" i="1"/>
  <c r="F65" i="1"/>
  <c r="E65" i="1"/>
  <c r="D65" i="1"/>
  <c r="L64" i="1"/>
  <c r="K64" i="1"/>
  <c r="J64" i="1"/>
  <c r="I64" i="1"/>
  <c r="H64" i="1"/>
  <c r="G64" i="1"/>
  <c r="F64" i="1"/>
  <c r="E64" i="1"/>
  <c r="D64" i="1"/>
  <c r="L63" i="1"/>
  <c r="K63" i="1"/>
  <c r="J63" i="1"/>
  <c r="I63" i="1"/>
  <c r="H63" i="1"/>
  <c r="G63" i="1"/>
  <c r="F63" i="1"/>
  <c r="E63" i="1"/>
  <c r="D63" i="1"/>
  <c r="L62" i="1"/>
  <c r="K62" i="1"/>
  <c r="J62" i="1"/>
  <c r="I62" i="1"/>
  <c r="H62" i="1"/>
  <c r="G62" i="1"/>
  <c r="F62" i="1"/>
  <c r="E62" i="1"/>
  <c r="D62" i="1"/>
  <c r="L61" i="1"/>
  <c r="K61" i="1"/>
  <c r="J61" i="1"/>
  <c r="I61" i="1"/>
  <c r="H61" i="1"/>
  <c r="G61" i="1"/>
  <c r="F61" i="1"/>
  <c r="E61" i="1"/>
  <c r="D61" i="1"/>
  <c r="L60" i="1"/>
  <c r="K60" i="1"/>
  <c r="J60" i="1"/>
  <c r="I60" i="1"/>
  <c r="H60" i="1"/>
  <c r="G60" i="1"/>
  <c r="F60" i="1"/>
  <c r="E60" i="1"/>
  <c r="D60" i="1"/>
  <c r="L59" i="1"/>
  <c r="K59" i="1"/>
  <c r="J59" i="1"/>
  <c r="I59" i="1"/>
  <c r="H59" i="1"/>
  <c r="G59" i="1"/>
  <c r="F59" i="1"/>
  <c r="E59" i="1"/>
  <c r="D59" i="1"/>
  <c r="L58" i="1"/>
  <c r="K58" i="1"/>
  <c r="J58" i="1"/>
  <c r="I58" i="1"/>
  <c r="H58" i="1"/>
  <c r="G58" i="1"/>
  <c r="F58" i="1"/>
  <c r="E58" i="1"/>
  <c r="D58" i="1"/>
  <c r="L57" i="1"/>
  <c r="K57" i="1"/>
  <c r="J57" i="1"/>
  <c r="I57" i="1"/>
  <c r="H57" i="1"/>
  <c r="G57" i="1"/>
  <c r="F57" i="1"/>
  <c r="E57" i="1"/>
  <c r="D57" i="1"/>
  <c r="L56" i="1"/>
  <c r="K56" i="1"/>
  <c r="J56" i="1"/>
  <c r="I56" i="1"/>
  <c r="H56" i="1"/>
  <c r="G56" i="1"/>
  <c r="F56" i="1"/>
  <c r="E56" i="1"/>
  <c r="D56" i="1"/>
  <c r="L55" i="1"/>
  <c r="K55" i="1"/>
  <c r="J55" i="1"/>
  <c r="I55" i="1"/>
  <c r="H55" i="1"/>
  <c r="G55" i="1"/>
  <c r="F55" i="1"/>
  <c r="E55" i="1"/>
  <c r="D55" i="1"/>
  <c r="L54" i="1"/>
  <c r="K54" i="1"/>
  <c r="J54" i="1"/>
  <c r="I54" i="1"/>
  <c r="H54" i="1"/>
  <c r="G54" i="1"/>
  <c r="F54" i="1"/>
  <c r="E54" i="1"/>
  <c r="D54" i="1"/>
  <c r="L53" i="1"/>
  <c r="K53" i="1"/>
  <c r="J53" i="1"/>
  <c r="I53" i="1"/>
  <c r="H53" i="1"/>
  <c r="G53" i="1"/>
  <c r="F53" i="1"/>
  <c r="E53" i="1"/>
  <c r="D53" i="1"/>
  <c r="L52" i="1"/>
  <c r="K52" i="1"/>
  <c r="J52" i="1"/>
  <c r="I52" i="1"/>
  <c r="H52" i="1"/>
  <c r="G52" i="1"/>
  <c r="F52" i="1"/>
  <c r="E52" i="1"/>
  <c r="D52" i="1"/>
  <c r="L51" i="1"/>
  <c r="K51" i="1"/>
  <c r="J51" i="1"/>
  <c r="I51" i="1"/>
  <c r="H51" i="1"/>
  <c r="G51" i="1"/>
  <c r="F51" i="1"/>
  <c r="E51" i="1"/>
  <c r="D51" i="1"/>
  <c r="L50" i="1"/>
  <c r="K50" i="1"/>
  <c r="J50" i="1"/>
  <c r="I50" i="1"/>
  <c r="H50" i="1"/>
  <c r="G50" i="1"/>
  <c r="F50" i="1"/>
  <c r="E50" i="1"/>
  <c r="D50" i="1"/>
  <c r="L49" i="1"/>
  <c r="K49" i="1"/>
  <c r="J49" i="1"/>
  <c r="I49" i="1"/>
  <c r="H49" i="1"/>
  <c r="G49" i="1"/>
  <c r="F49" i="1"/>
  <c r="E49" i="1"/>
  <c r="D49" i="1"/>
  <c r="L48" i="1"/>
  <c r="L263" i="1" s="1"/>
  <c r="K48" i="1"/>
  <c r="K263" i="1" s="1"/>
  <c r="J48" i="1"/>
  <c r="J263" i="1" s="1"/>
  <c r="I48" i="1"/>
  <c r="I263" i="1" s="1"/>
  <c r="H48" i="1"/>
  <c r="H263" i="1" s="1"/>
  <c r="G48" i="1"/>
  <c r="G263" i="1" s="1"/>
  <c r="F48" i="1"/>
  <c r="F263" i="1" s="1"/>
  <c r="E48" i="1"/>
  <c r="E263" i="1" s="1"/>
  <c r="D48" i="1"/>
  <c r="D263" i="1" s="1"/>
  <c r="L47" i="1"/>
  <c r="L262" i="1" s="1"/>
  <c r="K47" i="1"/>
  <c r="K262" i="1" s="1"/>
  <c r="J47" i="1"/>
  <c r="J262" i="1" s="1"/>
  <c r="I47" i="1"/>
  <c r="I262" i="1" s="1"/>
  <c r="H47" i="1"/>
  <c r="H262" i="1" s="1"/>
  <c r="G47" i="1"/>
  <c r="G262" i="1" s="1"/>
  <c r="F47" i="1"/>
  <c r="F262" i="1" s="1"/>
  <c r="E47" i="1"/>
  <c r="E262" i="1" s="1"/>
  <c r="D47" i="1"/>
  <c r="D262" i="1" s="1"/>
  <c r="L46" i="1"/>
  <c r="L261" i="1" s="1"/>
  <c r="K46" i="1"/>
  <c r="K261" i="1" s="1"/>
  <c r="J46" i="1"/>
  <c r="J261" i="1" s="1"/>
  <c r="I46" i="1"/>
  <c r="I261" i="1" s="1"/>
  <c r="H46" i="1"/>
  <c r="H261" i="1" s="1"/>
  <c r="G46" i="1"/>
  <c r="G261" i="1" s="1"/>
  <c r="F46" i="1"/>
  <c r="F261" i="1" s="1"/>
  <c r="E46" i="1"/>
  <c r="E261" i="1" s="1"/>
  <c r="D46" i="1"/>
  <c r="D261" i="1" s="1"/>
  <c r="L45" i="1"/>
  <c r="L271" i="1" s="1"/>
  <c r="K45" i="1"/>
  <c r="K271" i="1" s="1"/>
  <c r="J45" i="1"/>
  <c r="J271" i="1" s="1"/>
  <c r="I45" i="1"/>
  <c r="I271" i="1" s="1"/>
  <c r="H45" i="1"/>
  <c r="H271" i="1" s="1"/>
  <c r="G45" i="1"/>
  <c r="G271" i="1" s="1"/>
  <c r="F45" i="1"/>
  <c r="F271" i="1" s="1"/>
  <c r="E45" i="1"/>
  <c r="E271" i="1" s="1"/>
  <c r="D45" i="1"/>
  <c r="D271" i="1" s="1"/>
  <c r="L44" i="1"/>
  <c r="L259" i="1" s="1"/>
  <c r="K44" i="1"/>
  <c r="K259" i="1" s="1"/>
  <c r="J44" i="1"/>
  <c r="J259" i="1" s="1"/>
  <c r="I44" i="1"/>
  <c r="I259" i="1" s="1"/>
  <c r="H44" i="1"/>
  <c r="H259" i="1" s="1"/>
  <c r="G44" i="1"/>
  <c r="G259" i="1" s="1"/>
  <c r="F44" i="1"/>
  <c r="F259" i="1" s="1"/>
  <c r="E44" i="1"/>
  <c r="E259" i="1" s="1"/>
  <c r="D44" i="1"/>
  <c r="D259" i="1" s="1"/>
  <c r="L43" i="1"/>
  <c r="L258" i="1" s="1"/>
  <c r="K43" i="1"/>
  <c r="K258" i="1" s="1"/>
  <c r="J43" i="1"/>
  <c r="J258" i="1" s="1"/>
  <c r="I43" i="1"/>
  <c r="I258" i="1" s="1"/>
  <c r="H43" i="1"/>
  <c r="H258" i="1" s="1"/>
  <c r="G43" i="1"/>
  <c r="G258" i="1" s="1"/>
  <c r="F43" i="1"/>
  <c r="F258" i="1" s="1"/>
  <c r="E43" i="1"/>
  <c r="E258" i="1" s="1"/>
  <c r="D43" i="1"/>
  <c r="D258" i="1" s="1"/>
  <c r="L42" i="1"/>
  <c r="L257" i="1" s="1"/>
  <c r="K42" i="1"/>
  <c r="K257" i="1" s="1"/>
  <c r="J42" i="1"/>
  <c r="J257" i="1" s="1"/>
  <c r="I42" i="1"/>
  <c r="I257" i="1" s="1"/>
  <c r="H42" i="1"/>
  <c r="H257" i="1" s="1"/>
  <c r="G42" i="1"/>
  <c r="G257" i="1" s="1"/>
  <c r="F42" i="1"/>
  <c r="F257" i="1" s="1"/>
  <c r="E42" i="1"/>
  <c r="E257" i="1" s="1"/>
  <c r="D42" i="1"/>
  <c r="D257" i="1" s="1"/>
  <c r="L41" i="1"/>
  <c r="L256" i="1" s="1"/>
  <c r="K41" i="1"/>
  <c r="K256" i="1" s="1"/>
  <c r="J41" i="1"/>
  <c r="J256" i="1" s="1"/>
  <c r="I41" i="1"/>
  <c r="I256" i="1" s="1"/>
  <c r="H41" i="1"/>
  <c r="H256" i="1" s="1"/>
  <c r="G41" i="1"/>
  <c r="G256" i="1" s="1"/>
  <c r="F41" i="1"/>
  <c r="F256" i="1" s="1"/>
  <c r="E41" i="1"/>
  <c r="E256" i="1" s="1"/>
  <c r="D41" i="1"/>
  <c r="D256" i="1" s="1"/>
  <c r="L40" i="1"/>
  <c r="L255" i="1" s="1"/>
  <c r="K40" i="1"/>
  <c r="K255" i="1" s="1"/>
  <c r="J40" i="1"/>
  <c r="J255" i="1" s="1"/>
  <c r="I40" i="1"/>
  <c r="I255" i="1" s="1"/>
  <c r="H40" i="1"/>
  <c r="H255" i="1" s="1"/>
  <c r="G40" i="1"/>
  <c r="G255" i="1" s="1"/>
  <c r="F40" i="1"/>
  <c r="F255" i="1" s="1"/>
  <c r="E40" i="1"/>
  <c r="E255" i="1" s="1"/>
  <c r="D40" i="1"/>
  <c r="D255" i="1" s="1"/>
  <c r="L39" i="1"/>
  <c r="L270" i="1" s="1"/>
  <c r="K39" i="1"/>
  <c r="K270" i="1" s="1"/>
  <c r="J39" i="1"/>
  <c r="J270" i="1" s="1"/>
  <c r="I39" i="1"/>
  <c r="I270" i="1" s="1"/>
  <c r="H39" i="1"/>
  <c r="H270" i="1" s="1"/>
  <c r="G39" i="1"/>
  <c r="G270" i="1" s="1"/>
  <c r="F39" i="1"/>
  <c r="F270" i="1" s="1"/>
  <c r="E39" i="1"/>
  <c r="E270" i="1" s="1"/>
  <c r="D39" i="1"/>
  <c r="D270" i="1" s="1"/>
  <c r="L38" i="1"/>
  <c r="L253" i="1" s="1"/>
  <c r="K38" i="1"/>
  <c r="K253" i="1" s="1"/>
  <c r="J38" i="1"/>
  <c r="J253" i="1" s="1"/>
  <c r="I38" i="1"/>
  <c r="I253" i="1" s="1"/>
  <c r="H38" i="1"/>
  <c r="H253" i="1" s="1"/>
  <c r="G38" i="1"/>
  <c r="G253" i="1" s="1"/>
  <c r="F38" i="1"/>
  <c r="F253" i="1" s="1"/>
  <c r="E38" i="1"/>
  <c r="E253" i="1" s="1"/>
  <c r="D38" i="1"/>
  <c r="D253" i="1" s="1"/>
  <c r="L37" i="1"/>
  <c r="L252" i="1" s="1"/>
  <c r="K37" i="1"/>
  <c r="K252" i="1" s="1"/>
  <c r="J37" i="1"/>
  <c r="J252" i="1" s="1"/>
  <c r="I37" i="1"/>
  <c r="I252" i="1" s="1"/>
  <c r="H37" i="1"/>
  <c r="H252" i="1" s="1"/>
  <c r="G37" i="1"/>
  <c r="G252" i="1" s="1"/>
  <c r="F37" i="1"/>
  <c r="F252" i="1" s="1"/>
  <c r="E37" i="1"/>
  <c r="E252" i="1" s="1"/>
  <c r="D37" i="1"/>
  <c r="D252" i="1" s="1"/>
  <c r="L36" i="1"/>
  <c r="L251" i="1" s="1"/>
  <c r="K36" i="1"/>
  <c r="K251" i="1" s="1"/>
  <c r="J36" i="1"/>
  <c r="J251" i="1" s="1"/>
  <c r="I36" i="1"/>
  <c r="I251" i="1" s="1"/>
  <c r="H36" i="1"/>
  <c r="H251" i="1" s="1"/>
  <c r="G36" i="1"/>
  <c r="G251" i="1" s="1"/>
  <c r="F36" i="1"/>
  <c r="F251" i="1" s="1"/>
  <c r="E36" i="1"/>
  <c r="E251" i="1" s="1"/>
  <c r="D36" i="1"/>
  <c r="D251" i="1" s="1"/>
  <c r="L35" i="1"/>
  <c r="L269" i="1" s="1"/>
  <c r="K35" i="1"/>
  <c r="K269" i="1" s="1"/>
  <c r="J35" i="1"/>
  <c r="J269" i="1" s="1"/>
  <c r="I35" i="1"/>
  <c r="I250" i="1" s="1"/>
  <c r="H35" i="1"/>
  <c r="H250" i="1" s="1"/>
  <c r="G35" i="1"/>
  <c r="G250" i="1" s="1"/>
  <c r="F35" i="1"/>
  <c r="F269" i="1" s="1"/>
  <c r="E35" i="1"/>
  <c r="E269" i="1" s="1"/>
  <c r="D35" i="1"/>
  <c r="D269" i="1" s="1"/>
  <c r="L34" i="1"/>
  <c r="L249" i="1" s="1"/>
  <c r="K34" i="1"/>
  <c r="K249" i="1" s="1"/>
  <c r="J34" i="1"/>
  <c r="J249" i="1" s="1"/>
  <c r="I34" i="1"/>
  <c r="I249" i="1" s="1"/>
  <c r="H34" i="1"/>
  <c r="H249" i="1" s="1"/>
  <c r="G34" i="1"/>
  <c r="G249" i="1" s="1"/>
  <c r="F34" i="1"/>
  <c r="F249" i="1" s="1"/>
  <c r="E34" i="1"/>
  <c r="E249" i="1" s="1"/>
  <c r="D34" i="1"/>
  <c r="D249" i="1" s="1"/>
  <c r="L33" i="1"/>
  <c r="L248" i="1" s="1"/>
  <c r="K33" i="1"/>
  <c r="K248" i="1" s="1"/>
  <c r="J33" i="1"/>
  <c r="J248" i="1" s="1"/>
  <c r="I33" i="1"/>
  <c r="I248" i="1" s="1"/>
  <c r="H33" i="1"/>
  <c r="H248" i="1" s="1"/>
  <c r="G33" i="1"/>
  <c r="G248" i="1" s="1"/>
  <c r="F33" i="1"/>
  <c r="F248" i="1" s="1"/>
  <c r="E33" i="1"/>
  <c r="E248" i="1" s="1"/>
  <c r="D33" i="1"/>
  <c r="D248" i="1" s="1"/>
  <c r="L32" i="1"/>
  <c r="L247" i="1" s="1"/>
  <c r="K32" i="1"/>
  <c r="K247" i="1" s="1"/>
  <c r="J32" i="1"/>
  <c r="J247" i="1" s="1"/>
  <c r="I32" i="1"/>
  <c r="I247" i="1" s="1"/>
  <c r="H32" i="1"/>
  <c r="H247" i="1" s="1"/>
  <c r="G32" i="1"/>
  <c r="G247" i="1" s="1"/>
  <c r="F32" i="1"/>
  <c r="F247" i="1" s="1"/>
  <c r="E32" i="1"/>
  <c r="E247" i="1" s="1"/>
  <c r="D32" i="1"/>
  <c r="D247" i="1" s="1"/>
  <c r="L31" i="1"/>
  <c r="L246" i="1" s="1"/>
  <c r="K31" i="1"/>
  <c r="K246" i="1" s="1"/>
  <c r="J31" i="1"/>
  <c r="J246" i="1" s="1"/>
  <c r="I31" i="1"/>
  <c r="I246" i="1" s="1"/>
  <c r="H31" i="1"/>
  <c r="H246" i="1" s="1"/>
  <c r="G31" i="1"/>
  <c r="G246" i="1" s="1"/>
  <c r="F31" i="1"/>
  <c r="F246" i="1" s="1"/>
  <c r="E31" i="1"/>
  <c r="E246" i="1" s="1"/>
  <c r="D31" i="1"/>
  <c r="D246" i="1" s="1"/>
  <c r="L30" i="1"/>
  <c r="L268" i="1" s="1"/>
  <c r="K30" i="1"/>
  <c r="K268" i="1" s="1"/>
  <c r="J30" i="1"/>
  <c r="J268" i="1" s="1"/>
  <c r="I30" i="1"/>
  <c r="I268" i="1" s="1"/>
  <c r="H30" i="1"/>
  <c r="H268" i="1" s="1"/>
  <c r="G30" i="1"/>
  <c r="G268" i="1" s="1"/>
  <c r="F30" i="1"/>
  <c r="F245" i="1" s="1"/>
  <c r="E30" i="1"/>
  <c r="E245" i="1" s="1"/>
  <c r="D30" i="1"/>
  <c r="D245" i="1" s="1"/>
  <c r="L29" i="1"/>
  <c r="L244" i="1" s="1"/>
  <c r="K29" i="1"/>
  <c r="K244" i="1" s="1"/>
  <c r="J29" i="1"/>
  <c r="J244" i="1" s="1"/>
  <c r="I29" i="1"/>
  <c r="I244" i="1" s="1"/>
  <c r="H29" i="1"/>
  <c r="H244" i="1" s="1"/>
  <c r="G29" i="1"/>
  <c r="G244" i="1" s="1"/>
  <c r="F29" i="1"/>
  <c r="F244" i="1" s="1"/>
  <c r="E29" i="1"/>
  <c r="E244" i="1" s="1"/>
  <c r="D29" i="1"/>
  <c r="D244" i="1" s="1"/>
  <c r="L28" i="1"/>
  <c r="L243" i="1" s="1"/>
  <c r="K28" i="1"/>
  <c r="K243" i="1" s="1"/>
  <c r="J28" i="1"/>
  <c r="J243" i="1" s="1"/>
  <c r="I28" i="1"/>
  <c r="I243" i="1" s="1"/>
  <c r="H28" i="1"/>
  <c r="H243" i="1" s="1"/>
  <c r="G28" i="1"/>
  <c r="G243" i="1" s="1"/>
  <c r="F28" i="1"/>
  <c r="F243" i="1" s="1"/>
  <c r="E28" i="1"/>
  <c r="E243" i="1" s="1"/>
  <c r="D28" i="1"/>
  <c r="D243" i="1" s="1"/>
  <c r="L27" i="1"/>
  <c r="L242" i="1" s="1"/>
  <c r="K27" i="1"/>
  <c r="K242" i="1" s="1"/>
  <c r="J27" i="1"/>
  <c r="J242" i="1" s="1"/>
  <c r="I27" i="1"/>
  <c r="I242" i="1" s="1"/>
  <c r="H27" i="1"/>
  <c r="H242" i="1" s="1"/>
  <c r="G27" i="1"/>
  <c r="G242" i="1" s="1"/>
  <c r="F27" i="1"/>
  <c r="F242" i="1" s="1"/>
  <c r="E27" i="1"/>
  <c r="E242" i="1" s="1"/>
  <c r="D27" i="1"/>
  <c r="D242" i="1" s="1"/>
  <c r="L26" i="1"/>
  <c r="L241" i="1" s="1"/>
  <c r="K26" i="1"/>
  <c r="K241" i="1" s="1"/>
  <c r="J26" i="1"/>
  <c r="J241" i="1" s="1"/>
  <c r="I26" i="1"/>
  <c r="I241" i="1" s="1"/>
  <c r="H26" i="1"/>
  <c r="H241" i="1" s="1"/>
  <c r="G26" i="1"/>
  <c r="G241" i="1" s="1"/>
  <c r="F26" i="1"/>
  <c r="F241" i="1" s="1"/>
  <c r="E26" i="1"/>
  <c r="E241" i="1" s="1"/>
  <c r="D26" i="1"/>
  <c r="D241" i="1" s="1"/>
  <c r="L25" i="1"/>
  <c r="L240" i="1" s="1"/>
  <c r="K25" i="1"/>
  <c r="K240" i="1" s="1"/>
  <c r="J25" i="1"/>
  <c r="J240" i="1" s="1"/>
  <c r="I25" i="1"/>
  <c r="I240" i="1" s="1"/>
  <c r="H25" i="1"/>
  <c r="H240" i="1" s="1"/>
  <c r="G25" i="1"/>
  <c r="G240" i="1" s="1"/>
  <c r="F25" i="1"/>
  <c r="F240" i="1" s="1"/>
  <c r="E25" i="1"/>
  <c r="E240" i="1" s="1"/>
  <c r="D25" i="1"/>
  <c r="D240" i="1" s="1"/>
  <c r="L24" i="1"/>
  <c r="L267" i="1" s="1"/>
  <c r="K24" i="1"/>
  <c r="K267" i="1" s="1"/>
  <c r="J24" i="1"/>
  <c r="J267" i="1" s="1"/>
  <c r="I24" i="1"/>
  <c r="I267" i="1" s="1"/>
  <c r="H24" i="1"/>
  <c r="H267" i="1" s="1"/>
  <c r="G24" i="1"/>
  <c r="G267" i="1" s="1"/>
  <c r="F24" i="1"/>
  <c r="F267" i="1" s="1"/>
  <c r="E24" i="1"/>
  <c r="E267" i="1" s="1"/>
  <c r="D24" i="1"/>
  <c r="D267" i="1" s="1"/>
  <c r="L23" i="1"/>
  <c r="L238" i="1" s="1"/>
  <c r="K23" i="1"/>
  <c r="K238" i="1" s="1"/>
  <c r="J23" i="1"/>
  <c r="J238" i="1" s="1"/>
  <c r="I23" i="1"/>
  <c r="I238" i="1" s="1"/>
  <c r="H23" i="1"/>
  <c r="H238" i="1" s="1"/>
  <c r="G23" i="1"/>
  <c r="G238" i="1" s="1"/>
  <c r="F23" i="1"/>
  <c r="F238" i="1" s="1"/>
  <c r="E23" i="1"/>
  <c r="E238" i="1" s="1"/>
  <c r="D23" i="1"/>
  <c r="D238" i="1" s="1"/>
  <c r="L22" i="1"/>
  <c r="L237" i="1" s="1"/>
  <c r="K22" i="1"/>
  <c r="K237" i="1" s="1"/>
  <c r="J22" i="1"/>
  <c r="J237" i="1" s="1"/>
  <c r="I22" i="1"/>
  <c r="I237" i="1" s="1"/>
  <c r="H22" i="1"/>
  <c r="H237" i="1" s="1"/>
  <c r="G22" i="1"/>
  <c r="G237" i="1" s="1"/>
  <c r="F22" i="1"/>
  <c r="F237" i="1" s="1"/>
  <c r="E22" i="1"/>
  <c r="E237" i="1" s="1"/>
  <c r="D22" i="1"/>
  <c r="D237" i="1" s="1"/>
  <c r="L21" i="1"/>
  <c r="L236" i="1" s="1"/>
  <c r="K21" i="1"/>
  <c r="K236" i="1" s="1"/>
  <c r="J21" i="1"/>
  <c r="J236" i="1" s="1"/>
  <c r="I21" i="1"/>
  <c r="I236" i="1" s="1"/>
  <c r="H21" i="1"/>
  <c r="H236" i="1" s="1"/>
  <c r="G21" i="1"/>
  <c r="G236" i="1" s="1"/>
  <c r="F21" i="1"/>
  <c r="F236" i="1" s="1"/>
  <c r="E21" i="1"/>
  <c r="E236" i="1" s="1"/>
  <c r="D21" i="1"/>
  <c r="D236" i="1" s="1"/>
  <c r="L20" i="1"/>
  <c r="L235" i="1" s="1"/>
  <c r="K20" i="1"/>
  <c r="K235" i="1" s="1"/>
  <c r="J20" i="1"/>
  <c r="J235" i="1" s="1"/>
  <c r="I20" i="1"/>
  <c r="I235" i="1" s="1"/>
  <c r="H20" i="1"/>
  <c r="H235" i="1" s="1"/>
  <c r="G20" i="1"/>
  <c r="G235" i="1" s="1"/>
  <c r="F20" i="1"/>
  <c r="F235" i="1" s="1"/>
  <c r="E20" i="1"/>
  <c r="E235" i="1" s="1"/>
  <c r="D20" i="1"/>
  <c r="D235" i="1" s="1"/>
  <c r="L19" i="1"/>
  <c r="L234" i="1" s="1"/>
  <c r="K19" i="1"/>
  <c r="K234" i="1" s="1"/>
  <c r="J19" i="1"/>
  <c r="J234" i="1" s="1"/>
  <c r="I19" i="1"/>
  <c r="I234" i="1" s="1"/>
  <c r="H19" i="1"/>
  <c r="H234" i="1" s="1"/>
  <c r="G19" i="1"/>
  <c r="G234" i="1" s="1"/>
  <c r="F19" i="1"/>
  <c r="F234" i="1" s="1"/>
  <c r="E19" i="1"/>
  <c r="E234" i="1" s="1"/>
  <c r="D19" i="1"/>
  <c r="D234" i="1" s="1"/>
  <c r="L18" i="1"/>
  <c r="L233" i="1" s="1"/>
  <c r="K18" i="1"/>
  <c r="K233" i="1" s="1"/>
  <c r="J18" i="1"/>
  <c r="J233" i="1" s="1"/>
  <c r="I18" i="1"/>
  <c r="I233" i="1" s="1"/>
  <c r="H18" i="1"/>
  <c r="H233" i="1" s="1"/>
  <c r="G18" i="1"/>
  <c r="G233" i="1" s="1"/>
  <c r="F18" i="1"/>
  <c r="F233" i="1" s="1"/>
  <c r="E18" i="1"/>
  <c r="E233" i="1" s="1"/>
  <c r="D18" i="1"/>
  <c r="D233" i="1" s="1"/>
  <c r="L17" i="1"/>
  <c r="L232" i="1" s="1"/>
  <c r="K17" i="1"/>
  <c r="K232" i="1" s="1"/>
  <c r="J17" i="1"/>
  <c r="J232" i="1" s="1"/>
  <c r="I17" i="1"/>
  <c r="I266" i="1" s="1"/>
  <c r="H17" i="1"/>
  <c r="H266" i="1" s="1"/>
  <c r="G17" i="1"/>
  <c r="G266" i="1" s="1"/>
  <c r="F17" i="1"/>
  <c r="F266" i="1" s="1"/>
  <c r="E17" i="1"/>
  <c r="E266" i="1" s="1"/>
  <c r="D17" i="1"/>
  <c r="D266" i="1" s="1"/>
  <c r="L16" i="1"/>
  <c r="L231" i="1" s="1"/>
  <c r="K16" i="1"/>
  <c r="K231" i="1" s="1"/>
  <c r="J16" i="1"/>
  <c r="J231" i="1" s="1"/>
  <c r="I16" i="1"/>
  <c r="I231" i="1" s="1"/>
  <c r="H16" i="1"/>
  <c r="H231" i="1" s="1"/>
  <c r="G16" i="1"/>
  <c r="G231" i="1" s="1"/>
  <c r="F16" i="1"/>
  <c r="F231" i="1" s="1"/>
  <c r="E16" i="1"/>
  <c r="E231" i="1" s="1"/>
  <c r="D16" i="1"/>
  <c r="D231" i="1" s="1"/>
  <c r="L15" i="1"/>
  <c r="L230" i="1" s="1"/>
  <c r="K15" i="1"/>
  <c r="K230" i="1" s="1"/>
  <c r="J15" i="1"/>
  <c r="J230" i="1" s="1"/>
  <c r="I15" i="1"/>
  <c r="I230" i="1" s="1"/>
  <c r="H15" i="1"/>
  <c r="H230" i="1" s="1"/>
  <c r="G15" i="1"/>
  <c r="G230" i="1" s="1"/>
  <c r="F15" i="1"/>
  <c r="F230" i="1" s="1"/>
  <c r="E15" i="1"/>
  <c r="E230" i="1" s="1"/>
  <c r="D15" i="1"/>
  <c r="D230" i="1" s="1"/>
  <c r="L14" i="1"/>
  <c r="L229" i="1" s="1"/>
  <c r="K14" i="1"/>
  <c r="K229" i="1" s="1"/>
  <c r="J14" i="1"/>
  <c r="J229" i="1" s="1"/>
  <c r="I14" i="1"/>
  <c r="I229" i="1" s="1"/>
  <c r="H14" i="1"/>
  <c r="H229" i="1" s="1"/>
  <c r="G14" i="1"/>
  <c r="G229" i="1" s="1"/>
  <c r="F14" i="1"/>
  <c r="F229" i="1" s="1"/>
  <c r="E14" i="1"/>
  <c r="E229" i="1" s="1"/>
  <c r="D14" i="1"/>
  <c r="D229" i="1" s="1"/>
  <c r="L13" i="1"/>
  <c r="L228" i="1" s="1"/>
  <c r="K13" i="1"/>
  <c r="K228" i="1" s="1"/>
  <c r="J13" i="1"/>
  <c r="J228" i="1" s="1"/>
  <c r="I13" i="1"/>
  <c r="I228" i="1" s="1"/>
  <c r="H13" i="1"/>
  <c r="H228" i="1" s="1"/>
  <c r="G13" i="1"/>
  <c r="G228" i="1" s="1"/>
  <c r="F13" i="1"/>
  <c r="F228" i="1" s="1"/>
  <c r="E13" i="1"/>
  <c r="E228" i="1" s="1"/>
  <c r="D13" i="1"/>
  <c r="D228" i="1" s="1"/>
  <c r="L12" i="1"/>
  <c r="L227" i="1" s="1"/>
  <c r="K12" i="1"/>
  <c r="K227" i="1" s="1"/>
  <c r="J12" i="1"/>
  <c r="J227" i="1" s="1"/>
  <c r="I12" i="1"/>
  <c r="I227" i="1" s="1"/>
  <c r="H12" i="1"/>
  <c r="H227" i="1" s="1"/>
  <c r="G12" i="1"/>
  <c r="G227" i="1" s="1"/>
  <c r="F12" i="1"/>
  <c r="F227" i="1" s="1"/>
  <c r="E12" i="1"/>
  <c r="E227" i="1" s="1"/>
  <c r="D12" i="1"/>
  <c r="D227" i="1" s="1"/>
  <c r="L11" i="1"/>
  <c r="L226" i="1" s="1"/>
  <c r="K11" i="1"/>
  <c r="K226" i="1" s="1"/>
  <c r="J11" i="1"/>
  <c r="J226" i="1" s="1"/>
  <c r="I11" i="1"/>
  <c r="I226" i="1" s="1"/>
  <c r="H11" i="1"/>
  <c r="H226" i="1" s="1"/>
  <c r="G11" i="1"/>
  <c r="G226" i="1" s="1"/>
  <c r="F11" i="1"/>
  <c r="F226" i="1" s="1"/>
  <c r="E11" i="1"/>
  <c r="E226" i="1" s="1"/>
  <c r="D11" i="1"/>
  <c r="D226" i="1" s="1"/>
  <c r="L10" i="1"/>
  <c r="L9" i="1" s="1"/>
  <c r="K10" i="1"/>
  <c r="K265" i="1" s="1"/>
  <c r="J10" i="1"/>
  <c r="J265" i="1" s="1"/>
  <c r="I10" i="1"/>
  <c r="I9" i="1" s="1"/>
  <c r="H10" i="1"/>
  <c r="H265" i="1" s="1"/>
  <c r="G10" i="1"/>
  <c r="G9" i="1" s="1"/>
  <c r="F10" i="1"/>
  <c r="F265" i="1" s="1"/>
  <c r="E10" i="1"/>
  <c r="E265" i="1" s="1"/>
  <c r="D10" i="1"/>
  <c r="D265" i="1" s="1"/>
  <c r="J9" i="1"/>
  <c r="L8" i="1"/>
  <c r="L223" i="1" s="1"/>
  <c r="K8" i="1"/>
  <c r="K223" i="1" s="1"/>
  <c r="J8" i="1"/>
  <c r="J223" i="1" s="1"/>
  <c r="I8" i="1"/>
  <c r="I223" i="1" s="1"/>
  <c r="H8" i="1"/>
  <c r="H223" i="1" s="1"/>
  <c r="G8" i="1"/>
  <c r="G223" i="1" s="1"/>
  <c r="F8" i="1"/>
  <c r="F223" i="1" s="1"/>
  <c r="E8" i="1"/>
  <c r="E223" i="1" s="1"/>
  <c r="D8" i="1"/>
  <c r="D223" i="1" s="1"/>
  <c r="L7" i="1"/>
  <c r="L222" i="1" s="1"/>
  <c r="K7" i="1"/>
  <c r="K222" i="1" s="1"/>
  <c r="J7" i="1"/>
  <c r="J222" i="1" s="1"/>
  <c r="I7" i="1"/>
  <c r="I222" i="1" s="1"/>
  <c r="H7" i="1"/>
  <c r="H222" i="1" s="1"/>
  <c r="G7" i="1"/>
  <c r="G222" i="1" s="1"/>
  <c r="F7" i="1"/>
  <c r="F222" i="1" s="1"/>
  <c r="E7" i="1"/>
  <c r="E222" i="1" s="1"/>
  <c r="D7" i="1"/>
  <c r="D222" i="1" s="1"/>
  <c r="L6" i="1"/>
  <c r="L264" i="1" s="1"/>
  <c r="K6" i="1"/>
  <c r="K264" i="1" s="1"/>
  <c r="J6" i="1"/>
  <c r="J264" i="1" s="1"/>
  <c r="I6" i="1"/>
  <c r="I264" i="1" s="1"/>
  <c r="H6" i="1"/>
  <c r="H264" i="1" s="1"/>
  <c r="G6" i="1"/>
  <c r="G264" i="1" s="1"/>
  <c r="F6" i="1"/>
  <c r="F221" i="1" s="1"/>
  <c r="E6" i="1"/>
  <c r="E221" i="1" s="1"/>
  <c r="D6" i="1"/>
  <c r="D221" i="1" s="1"/>
  <c r="L5" i="1"/>
  <c r="K5" i="1"/>
  <c r="J5" i="1"/>
  <c r="I5" i="1"/>
  <c r="H5" i="1"/>
  <c r="G5" i="1"/>
  <c r="F5" i="1"/>
  <c r="E5" i="1"/>
  <c r="D5" i="1"/>
  <c r="L4" i="1"/>
  <c r="K4" i="1"/>
  <c r="J4" i="1"/>
  <c r="I4" i="1"/>
  <c r="H4" i="1"/>
  <c r="G4" i="1"/>
  <c r="F4" i="1"/>
  <c r="E4" i="1"/>
  <c r="D4" i="1"/>
  <c r="G221" i="1" l="1"/>
  <c r="G225" i="1"/>
  <c r="G224" i="1" s="1"/>
  <c r="D232" i="1"/>
  <c r="G245" i="1"/>
  <c r="J250" i="1"/>
  <c r="J254" i="1"/>
  <c r="D260" i="1"/>
  <c r="D264" i="1"/>
  <c r="G265" i="1"/>
  <c r="J266" i="1"/>
  <c r="D268" i="1"/>
  <c r="G269" i="1"/>
  <c r="H221" i="1"/>
  <c r="H225" i="1"/>
  <c r="H224" i="1" s="1"/>
  <c r="E232" i="1"/>
  <c r="H245" i="1"/>
  <c r="K250" i="1"/>
  <c r="K254" i="1"/>
  <c r="E260" i="1"/>
  <c r="E264" i="1"/>
  <c r="K266" i="1"/>
  <c r="E268" i="1"/>
  <c r="H269" i="1"/>
  <c r="I221" i="1"/>
  <c r="I225" i="1"/>
  <c r="I224" i="1" s="1"/>
  <c r="F232" i="1"/>
  <c r="I245" i="1"/>
  <c r="L250" i="1"/>
  <c r="L254" i="1"/>
  <c r="F260" i="1"/>
  <c r="F264" i="1"/>
  <c r="I265" i="1"/>
  <c r="L266" i="1"/>
  <c r="F268" i="1"/>
  <c r="I269" i="1"/>
  <c r="D9" i="1"/>
  <c r="J221" i="1"/>
  <c r="J225" i="1"/>
  <c r="J224" i="1" s="1"/>
  <c r="G232" i="1"/>
  <c r="D239" i="1"/>
  <c r="J245" i="1"/>
  <c r="G260" i="1"/>
  <c r="E9" i="1"/>
  <c r="K221" i="1"/>
  <c r="K225" i="1"/>
  <c r="K224" i="1" s="1"/>
  <c r="H232" i="1"/>
  <c r="E239" i="1"/>
  <c r="K245" i="1"/>
  <c r="H260" i="1"/>
  <c r="F9" i="1"/>
  <c r="L221" i="1"/>
  <c r="L225" i="1"/>
  <c r="L224" i="1" s="1"/>
  <c r="I232" i="1"/>
  <c r="F239" i="1"/>
  <c r="L245" i="1"/>
  <c r="I260" i="1"/>
  <c r="L265" i="1"/>
  <c r="G239" i="1"/>
  <c r="D250" i="1"/>
  <c r="D254" i="1"/>
  <c r="J260" i="1"/>
  <c r="H9" i="1"/>
  <c r="H239" i="1"/>
  <c r="E250" i="1"/>
  <c r="E254" i="1"/>
  <c r="K260" i="1"/>
  <c r="I239" i="1"/>
  <c r="F250" i="1"/>
  <c r="F254" i="1"/>
  <c r="L260" i="1"/>
  <c r="D225" i="1"/>
  <c r="D224" i="1" s="1"/>
  <c r="J239" i="1"/>
  <c r="G254" i="1"/>
  <c r="K9" i="1"/>
  <c r="E225" i="1"/>
  <c r="E224" i="1" s="1"/>
  <c r="K239" i="1"/>
  <c r="H254" i="1"/>
  <c r="F225" i="1"/>
  <c r="F224" i="1" s="1"/>
  <c r="L239" i="1"/>
  <c r="I254" i="1"/>
</calcChain>
</file>

<file path=xl/sharedStrings.xml><?xml version="1.0" encoding="utf-8"?>
<sst xmlns="http://schemas.openxmlformats.org/spreadsheetml/2006/main" count="730" uniqueCount="446">
  <si>
    <t>属性</t>
  </si>
  <si>
    <t>标签</t>
  </si>
  <si>
    <t>标签筛选</t>
  </si>
  <si>
    <t>人群总量级</t>
  </si>
  <si>
    <t>性别</t>
  </si>
  <si>
    <t>男</t>
  </si>
  <si>
    <t>女</t>
  </si>
  <si>
    <t>性别未知</t>
  </si>
  <si>
    <t>购买者年龄分布</t>
  </si>
  <si>
    <t>平均年龄预估</t>
  </si>
  <si>
    <t>18-24</t>
  </si>
  <si>
    <t>25-29</t>
  </si>
  <si>
    <t>30-34</t>
  </si>
  <si>
    <t>35-39</t>
  </si>
  <si>
    <t>40-44</t>
  </si>
  <si>
    <t>45+</t>
  </si>
  <si>
    <t>年龄未知</t>
  </si>
  <si>
    <t>购买者所处城市等级</t>
  </si>
  <si>
    <t>City Tier 1</t>
  </si>
  <si>
    <t>City Tier 2</t>
  </si>
  <si>
    <t>City Tier 3</t>
  </si>
  <si>
    <t>City Tier 4</t>
  </si>
  <si>
    <t>City Tier 5</t>
  </si>
  <si>
    <t>City Tier 6</t>
  </si>
  <si>
    <t>城市等级未知</t>
  </si>
  <si>
    <t>预测购买力</t>
  </si>
  <si>
    <t>购买力未知</t>
  </si>
  <si>
    <t>护肤年消费金额</t>
  </si>
  <si>
    <t>0-1000元</t>
  </si>
  <si>
    <t>1000-1499元</t>
  </si>
  <si>
    <t>1500-1999元</t>
  </si>
  <si>
    <t>2000-4999元</t>
  </si>
  <si>
    <t>5000元及以上</t>
  </si>
  <si>
    <t>护肤年消费频次</t>
  </si>
  <si>
    <t>0-5次</t>
  </si>
  <si>
    <t>6-10次</t>
  </si>
  <si>
    <t>11-12次</t>
  </si>
  <si>
    <t>13次及以上</t>
  </si>
  <si>
    <t>彩妆年消费金额</t>
  </si>
  <si>
    <t>0元</t>
  </si>
  <si>
    <t>1-200元</t>
  </si>
  <si>
    <t>200-500元</t>
  </si>
  <si>
    <t>500-1000元</t>
  </si>
  <si>
    <t>1000-2000元</t>
  </si>
  <si>
    <t>2000元及以上</t>
  </si>
  <si>
    <t>彩妆年消费频次</t>
  </si>
  <si>
    <t>策略人群</t>
  </si>
  <si>
    <t>都市蓝领</t>
  </si>
  <si>
    <t>Z时代人群</t>
  </si>
  <si>
    <t>精致妈妈</t>
  </si>
  <si>
    <t>小镇中年</t>
  </si>
  <si>
    <t>新锐白领</t>
  </si>
  <si>
    <t>小镇老年</t>
  </si>
  <si>
    <t>小镇青年</t>
  </si>
  <si>
    <t>资深白领</t>
  </si>
  <si>
    <t>都市银发族</t>
  </si>
  <si>
    <t>策略人群3.0</t>
  </si>
  <si>
    <t>精致女性</t>
  </si>
  <si>
    <t>小镇新贵</t>
  </si>
  <si>
    <t>都市型男</t>
  </si>
  <si>
    <t>悦己青年</t>
  </si>
  <si>
    <t>小镇中坚</t>
  </si>
  <si>
    <t>实惠大众</t>
  </si>
  <si>
    <t>资深中产</t>
  </si>
  <si>
    <t>品质银发</t>
  </si>
  <si>
    <t>简朴银发</t>
  </si>
  <si>
    <t>平价青年</t>
  </si>
  <si>
    <t>月均消费金额</t>
  </si>
  <si>
    <t>0-499元</t>
  </si>
  <si>
    <t>500-999元</t>
  </si>
  <si>
    <t>2000-2999元</t>
  </si>
  <si>
    <t>3000-5999元</t>
  </si>
  <si>
    <t>6000-10000元</t>
  </si>
  <si>
    <t>10000元以上</t>
  </si>
  <si>
    <t>礼遇场景人群</t>
  </si>
  <si>
    <t>相恋相惜</t>
  </si>
  <si>
    <t>恋爱氛围</t>
  </si>
  <si>
    <t>社会新人</t>
  </si>
  <si>
    <t>新婚祝福</t>
  </si>
  <si>
    <t>女士优待</t>
  </si>
  <si>
    <t>亲情至上</t>
  </si>
  <si>
    <t>闺中密友(女性)</t>
  </si>
  <si>
    <t>客情送礼</t>
  </si>
  <si>
    <t>母爱亲子</t>
  </si>
  <si>
    <t>潮流青年(男性)</t>
  </si>
  <si>
    <t>未知</t>
  </si>
  <si>
    <t>礼遇人群</t>
  </si>
  <si>
    <t>实惠好礼</t>
  </si>
  <si>
    <t>调性奢选</t>
  </si>
  <si>
    <t>爆款跟随</t>
  </si>
  <si>
    <t>礼盒易感</t>
  </si>
  <si>
    <t>美妆洗护四大市场</t>
  </si>
  <si>
    <t>奢美市场</t>
  </si>
  <si>
    <t>下沉市场</t>
  </si>
  <si>
    <t>年轻市场</t>
  </si>
  <si>
    <t>中坚力量</t>
  </si>
  <si>
    <t>肤质</t>
  </si>
  <si>
    <t>干性</t>
  </si>
  <si>
    <t>油性</t>
  </si>
  <si>
    <t>中性</t>
  </si>
  <si>
    <t>混合性</t>
  </si>
  <si>
    <t>敏感性</t>
  </si>
  <si>
    <t>美妆心智人群</t>
  </si>
  <si>
    <t>跟风尝鲜人群</t>
  </si>
  <si>
    <t>前卫先锋人群</t>
  </si>
  <si>
    <t>务实精算人群</t>
  </si>
  <si>
    <t>懒人省心人群</t>
  </si>
  <si>
    <t>悦己大牌人群</t>
  </si>
  <si>
    <t>理性专业人群</t>
  </si>
  <si>
    <t>未分类</t>
  </si>
  <si>
    <t>护肤品功效需求</t>
  </si>
  <si>
    <t>保湿补水</t>
  </si>
  <si>
    <t>修护</t>
  </si>
  <si>
    <t>净化肌肤</t>
  </si>
  <si>
    <t>提亮肤色</t>
  </si>
  <si>
    <t>控油</t>
  </si>
  <si>
    <t>提拉紧致</t>
  </si>
  <si>
    <t>去黑头/收缩毛孔</t>
  </si>
  <si>
    <t>祛皱</t>
  </si>
  <si>
    <t>美白</t>
  </si>
  <si>
    <t>防晒</t>
  </si>
  <si>
    <t>祛疤/祛痘</t>
  </si>
  <si>
    <t>抗衰老</t>
  </si>
  <si>
    <t>去角质</t>
  </si>
  <si>
    <t>淡斑</t>
  </si>
  <si>
    <t>抗过敏</t>
  </si>
  <si>
    <t>去黑眼圈/去眼袋</t>
  </si>
  <si>
    <t>调节肤色</t>
  </si>
  <si>
    <t>增加皮肤活力</t>
  </si>
  <si>
    <t>美妆七大功效人群</t>
  </si>
  <si>
    <t>补水保湿</t>
  </si>
  <si>
    <t>抗老</t>
  </si>
  <si>
    <t>清洁</t>
  </si>
  <si>
    <t>抗痘</t>
  </si>
  <si>
    <t>抗油</t>
  </si>
  <si>
    <t>抗糖</t>
  </si>
  <si>
    <t>彩妆功效需求</t>
  </si>
  <si>
    <t>定妆持久</t>
  </si>
  <si>
    <t>修颜</t>
  </si>
  <si>
    <t>保湿滋润</t>
  </si>
  <si>
    <t>易上色</t>
  </si>
  <si>
    <t>自然贴服</t>
  </si>
  <si>
    <t>美白遮瑕</t>
  </si>
  <si>
    <t>防水</t>
  </si>
  <si>
    <t>收缩毛孔</t>
  </si>
  <si>
    <t>隔离</t>
  </si>
  <si>
    <t>去黑眼圈</t>
  </si>
  <si>
    <t>变色</t>
  </si>
  <si>
    <t>舒缓肌肤</t>
  </si>
  <si>
    <t>去皱</t>
  </si>
  <si>
    <t>祛痘</t>
  </si>
  <si>
    <t>祛斑</t>
  </si>
  <si>
    <t>预测购买时间</t>
  </si>
  <si>
    <t>0-1时</t>
  </si>
  <si>
    <t>1-2时</t>
  </si>
  <si>
    <t>2-3时</t>
  </si>
  <si>
    <t>3-4时</t>
  </si>
  <si>
    <t>4-5时</t>
  </si>
  <si>
    <t>5-6时</t>
  </si>
  <si>
    <t>6-7时</t>
  </si>
  <si>
    <t>7-8时</t>
  </si>
  <si>
    <t>8-9时</t>
  </si>
  <si>
    <t>9-10时</t>
  </si>
  <si>
    <t>10-11时</t>
  </si>
  <si>
    <t>11-12时</t>
  </si>
  <si>
    <t>12-13时</t>
  </si>
  <si>
    <t>13-14时</t>
  </si>
  <si>
    <t>14-15时</t>
  </si>
  <si>
    <t>15-16时</t>
  </si>
  <si>
    <t>16-17时</t>
  </si>
  <si>
    <t>17-18时</t>
  </si>
  <si>
    <t>18-19时</t>
  </si>
  <si>
    <t>19-20时</t>
  </si>
  <si>
    <t>20-21时</t>
  </si>
  <si>
    <t>21-22时</t>
  </si>
  <si>
    <t>22-23时</t>
  </si>
  <si>
    <t>23-0时</t>
  </si>
  <si>
    <t>预测省份</t>
  </si>
  <si>
    <t>广东</t>
  </si>
  <si>
    <t>浙江</t>
  </si>
  <si>
    <t>江苏</t>
  </si>
  <si>
    <t>四川</t>
  </si>
  <si>
    <t>山东</t>
  </si>
  <si>
    <t>上海</t>
  </si>
  <si>
    <t>河南</t>
  </si>
  <si>
    <t>安徽</t>
  </si>
  <si>
    <t>北京</t>
  </si>
  <si>
    <t>湖北</t>
  </si>
  <si>
    <t>福建</t>
  </si>
  <si>
    <t>湖南</t>
  </si>
  <si>
    <t>河北</t>
  </si>
  <si>
    <t>江西</t>
  </si>
  <si>
    <t>陕西</t>
  </si>
  <si>
    <t>辽宁</t>
  </si>
  <si>
    <t>重庆</t>
  </si>
  <si>
    <t>云南</t>
  </si>
  <si>
    <t>山西</t>
  </si>
  <si>
    <t>贵州</t>
  </si>
  <si>
    <t>广西</t>
  </si>
  <si>
    <t>黑龙江</t>
  </si>
  <si>
    <t>天津</t>
  </si>
  <si>
    <t>吉林</t>
  </si>
  <si>
    <t>内蒙古</t>
  </si>
  <si>
    <t>甘肃</t>
  </si>
  <si>
    <t>新疆</t>
  </si>
  <si>
    <t>宁夏</t>
  </si>
  <si>
    <t>青海</t>
  </si>
  <si>
    <t>西藏</t>
  </si>
  <si>
    <t>海南</t>
  </si>
  <si>
    <t>香港</t>
  </si>
  <si>
    <t>台湾</t>
  </si>
  <si>
    <t>澳门</t>
  </si>
  <si>
    <t>百分比矫正模块</t>
  </si>
  <si>
    <t>A</t>
  </si>
  <si>
    <t>新建 文本文档</t>
  </si>
  <si>
    <t>人群量级</t>
  </si>
  <si>
    <t>性别男</t>
  </si>
  <si>
    <t>性别女</t>
  </si>
  <si>
    <t>年龄[18,24]</t>
  </si>
  <si>
    <t>年龄[25,29]</t>
  </si>
  <si>
    <t>年龄[30,34]</t>
  </si>
  <si>
    <t>年龄[35,39]</t>
  </si>
  <si>
    <t>年龄[40,44]</t>
  </si>
  <si>
    <t>年龄[45,49]</t>
  </si>
  <si>
    <t>年龄[50,54]</t>
  </si>
  <si>
    <t>年龄[55,59]</t>
  </si>
  <si>
    <t>年龄&gt;=60</t>
  </si>
  <si>
    <t>城市等级1</t>
  </si>
  <si>
    <t>城市等级2</t>
  </si>
  <si>
    <t>城市等级3</t>
  </si>
  <si>
    <t>城市等级4</t>
  </si>
  <si>
    <t>城市等级5</t>
  </si>
  <si>
    <t>城市等级6</t>
  </si>
  <si>
    <t>购买力L1</t>
  </si>
  <si>
    <t>购买力L2</t>
  </si>
  <si>
    <t>购买力L3</t>
  </si>
  <si>
    <t>购买力L4</t>
  </si>
  <si>
    <t>购买力L5</t>
  </si>
  <si>
    <t>护肤年消费金额未知</t>
  </si>
  <si>
    <t>护肤年消费金额1-99元</t>
  </si>
  <si>
    <t>护肤年消费金额100-199元</t>
  </si>
  <si>
    <t>护肤年消费金额200-299元</t>
  </si>
  <si>
    <t>护肤年消费金额300-499元</t>
  </si>
  <si>
    <t>护肤年消费金额500-799元</t>
  </si>
  <si>
    <t>护肤年消费金额800-999元</t>
  </si>
  <si>
    <t>护肤年消费金额1000-1499元</t>
  </si>
  <si>
    <t>护肤年消费金额1500-1999元</t>
  </si>
  <si>
    <t>护肤年消费金额2000-4999元</t>
  </si>
  <si>
    <t>护肤年消费金额5000元及以上</t>
  </si>
  <si>
    <t>护肤年消费频次0次</t>
  </si>
  <si>
    <t>护肤年消费频次1次</t>
  </si>
  <si>
    <t>护肤年消费频次2次</t>
  </si>
  <si>
    <t>护肤年消费频次3次</t>
  </si>
  <si>
    <t>护肤年消费频次4-5次</t>
  </si>
  <si>
    <t>护肤年消费频次6-8次</t>
  </si>
  <si>
    <t>护肤年消费频次9-10次</t>
  </si>
  <si>
    <t>护肤年消费频次11-12次</t>
  </si>
  <si>
    <t>护肤年消费频次13次及以上</t>
  </si>
  <si>
    <t>策略人群都市蓝领</t>
  </si>
  <si>
    <t>策略人群Z时代人群</t>
  </si>
  <si>
    <t>策略人群精致妈妈</t>
  </si>
  <si>
    <t>策略人群小镇中年</t>
  </si>
  <si>
    <t>策略人群新锐白领</t>
  </si>
  <si>
    <t>策略人群小镇老年</t>
  </si>
  <si>
    <t>策略人群小镇青年</t>
  </si>
  <si>
    <t>策略人群资深白领</t>
  </si>
  <si>
    <t>策略人群都市银发族</t>
  </si>
  <si>
    <t>策略人群未知</t>
  </si>
  <si>
    <t>十大策略人群精致女性</t>
  </si>
  <si>
    <t>十大策略人群小镇新贵</t>
  </si>
  <si>
    <t>十大策略人群都市型男</t>
  </si>
  <si>
    <t>十大策略人群悦己青年</t>
  </si>
  <si>
    <t>十大策略人群小镇中坚</t>
  </si>
  <si>
    <t>十大策略人群实惠大众</t>
  </si>
  <si>
    <t>十大策略人群资深中产</t>
  </si>
  <si>
    <t>十大策略人群品质银发</t>
  </si>
  <si>
    <t>十大策略人群简朴银发</t>
  </si>
  <si>
    <t>十大策略人群平价青年</t>
  </si>
  <si>
    <t>彩妆年消费金额0元</t>
  </si>
  <si>
    <t>彩妆年消费金额1-99元</t>
  </si>
  <si>
    <t>彩妆年消费金额100-199元</t>
  </si>
  <si>
    <t>彩妆年消费金额200-299元</t>
  </si>
  <si>
    <t>彩妆年消费金额300-499元</t>
  </si>
  <si>
    <t>彩妆年消费金额500-799元</t>
  </si>
  <si>
    <t>彩妆年消费金额800-999元</t>
  </si>
  <si>
    <t>彩妆年消费金额1000-1499元</t>
  </si>
  <si>
    <t>彩妆年消费金额1500-1999元</t>
  </si>
  <si>
    <t>彩妆年消费金额2000-4999元</t>
  </si>
  <si>
    <t>彩妆年消费金额5000元及以上</t>
  </si>
  <si>
    <t>彩妆年消费频次0次</t>
  </si>
  <si>
    <t>彩妆年消费频次1次</t>
  </si>
  <si>
    <t>彩妆年消费频次2次</t>
  </si>
  <si>
    <t>彩妆年消费频次3次</t>
  </si>
  <si>
    <t>彩妆年消费频次4-5次</t>
  </si>
  <si>
    <t>彩妆年消费频次6-8次</t>
  </si>
  <si>
    <t>彩妆年消费频次9-10次</t>
  </si>
  <si>
    <t>彩妆年消费频次11-12次</t>
  </si>
  <si>
    <t>彩妆年消费频次13次及以上</t>
  </si>
  <si>
    <t>月均消费金额0-499元</t>
  </si>
  <si>
    <t>月均消费金额500-999元</t>
  </si>
  <si>
    <t>月均消费金额1000-1499元</t>
  </si>
  <si>
    <t>月均消费金额1500-1999元</t>
  </si>
  <si>
    <t>月均消费金额2000-2999元</t>
  </si>
  <si>
    <t>月均消费金额3000-5999元</t>
  </si>
  <si>
    <t>月均消费金额6000-10000元</t>
  </si>
  <si>
    <t>月均消费金额10000元以上</t>
  </si>
  <si>
    <t>礼遇场景人群相恋相惜</t>
  </si>
  <si>
    <t>礼遇场景人群恋爱氛围</t>
  </si>
  <si>
    <t>礼遇场景人群社会新人</t>
  </si>
  <si>
    <t>礼遇场景人群新婚祝福</t>
  </si>
  <si>
    <t>礼遇场景人群女士优待</t>
  </si>
  <si>
    <t>礼遇场景人群亲情至上</t>
  </si>
  <si>
    <t>礼遇场景人群闺中密友(女性)</t>
  </si>
  <si>
    <t>礼遇场景人群客情送礼</t>
  </si>
  <si>
    <t>礼遇场景人群母爱亲子</t>
  </si>
  <si>
    <t>礼遇场景人群潮流青年(男性)</t>
  </si>
  <si>
    <t>礼遇场景人群未知</t>
  </si>
  <si>
    <t>礼遇人群实惠好礼</t>
  </si>
  <si>
    <t>礼遇人群调性奢选</t>
  </si>
  <si>
    <t>礼遇人群爆款跟随</t>
  </si>
  <si>
    <t>礼遇人群礼盒易感</t>
  </si>
  <si>
    <t>礼遇人群未知</t>
  </si>
  <si>
    <t>美妆洗护市场奢美市场</t>
  </si>
  <si>
    <t>美妆洗护市场下沉市场</t>
  </si>
  <si>
    <t>美妆洗护市场年轻市场</t>
  </si>
  <si>
    <t>美妆洗护市场中坚力量</t>
  </si>
  <si>
    <t>美妆洗护市场未知</t>
  </si>
  <si>
    <t>肤质干性</t>
  </si>
  <si>
    <t>肤质油性</t>
  </si>
  <si>
    <t>肤质中性</t>
  </si>
  <si>
    <t>肤质混合性</t>
  </si>
  <si>
    <t>肤质敏感性</t>
  </si>
  <si>
    <t>肤质未知</t>
  </si>
  <si>
    <t>美妆心智人群跟风尝鲜人群</t>
  </si>
  <si>
    <t>美妆心智人群前卫先锋人群</t>
  </si>
  <si>
    <t>美妆心智人群务实精算人群</t>
  </si>
  <si>
    <t>美妆心智人群懒人省心人群</t>
  </si>
  <si>
    <t>美妆心智人群悦己大牌人群</t>
  </si>
  <si>
    <t>美妆心智人群理性专业人群</t>
  </si>
  <si>
    <t>美妆心智人群未分类</t>
  </si>
  <si>
    <t>美妆心智人群未知</t>
  </si>
  <si>
    <t>彩妆功效需求定妆持久</t>
  </si>
  <si>
    <t>彩妆功效需求提亮肤色</t>
  </si>
  <si>
    <t>彩妆功效需求修颜</t>
  </si>
  <si>
    <t>彩妆功效需求保湿滋润</t>
  </si>
  <si>
    <t>彩妆功效需求易上色</t>
  </si>
  <si>
    <t>彩妆功效需求自然贴服</t>
  </si>
  <si>
    <t>彩妆功效需求美白遮瑕</t>
  </si>
  <si>
    <t>彩妆功效需求防水</t>
  </si>
  <si>
    <t>彩妆功效需求收缩毛孔</t>
  </si>
  <si>
    <t>彩妆功效需求控油</t>
  </si>
  <si>
    <t>彩妆功效需求隔离</t>
  </si>
  <si>
    <t>彩妆功效需求防晒</t>
  </si>
  <si>
    <t>彩妆功效需求去黑眼圈</t>
  </si>
  <si>
    <t>彩妆功效需求提拉紧致</t>
  </si>
  <si>
    <t>彩妆功效需求变色</t>
  </si>
  <si>
    <t>彩妆功效需求舒缓肌肤</t>
  </si>
  <si>
    <t>彩妆功效需求去皱</t>
  </si>
  <si>
    <t>彩妆功效需求祛痘</t>
  </si>
  <si>
    <t>彩妆功效需求祛斑</t>
  </si>
  <si>
    <t>护肤品功效需求保湿补水</t>
  </si>
  <si>
    <t>护肤品功效需求修护</t>
  </si>
  <si>
    <t>护肤品功效需求净化肌肤</t>
  </si>
  <si>
    <t>护肤品功效需求提亮肤色</t>
  </si>
  <si>
    <t>护肤品功效需求控油</t>
  </si>
  <si>
    <t>护肤品功效需求提拉紧致</t>
  </si>
  <si>
    <t>护肤品功效需求去黑头/收缩毛孔</t>
  </si>
  <si>
    <t>护肤品功效需求祛皱</t>
  </si>
  <si>
    <t>护肤品功效需求美白</t>
  </si>
  <si>
    <t>护肤品功效需求防晒</t>
  </si>
  <si>
    <t>护肤品功效需求祛疤/祛痘</t>
  </si>
  <si>
    <t>护肤品功效需求抗衰老</t>
  </si>
  <si>
    <t>护肤品功效需求去角质</t>
  </si>
  <si>
    <t>护肤品功效需求淡斑</t>
  </si>
  <si>
    <t>护肤品功效需求抗过敏</t>
  </si>
  <si>
    <t>护肤品功效需求去黑眼圈/去眼袋</t>
  </si>
  <si>
    <t>护肤品功效需求调节肤色</t>
  </si>
  <si>
    <t>护肤品功效需求增加皮肤活力</t>
  </si>
  <si>
    <t>美妆七大功效人群补水保湿</t>
  </si>
  <si>
    <t>美妆七大功效人群抗老</t>
  </si>
  <si>
    <t>美妆七大功效人群美白</t>
  </si>
  <si>
    <t>美妆七大功效人群清洁</t>
  </si>
  <si>
    <t>美妆七大功效人群抗痘</t>
  </si>
  <si>
    <t>美妆七大功效人群抗油</t>
  </si>
  <si>
    <t>美妆七大功效人群抗糖</t>
  </si>
  <si>
    <t>预测省份广东</t>
  </si>
  <si>
    <t>预测省份浙江</t>
  </si>
  <si>
    <t>预测省份江苏</t>
  </si>
  <si>
    <t>预测省份四川</t>
  </si>
  <si>
    <t>预测省份山东</t>
  </si>
  <si>
    <t>预测省份上海</t>
  </si>
  <si>
    <t>预测省份河南</t>
  </si>
  <si>
    <t>预测省份安徽</t>
  </si>
  <si>
    <t>预测省份北京</t>
  </si>
  <si>
    <t>预测省份湖北</t>
  </si>
  <si>
    <t>预测省份福建</t>
  </si>
  <si>
    <t>预测省份湖南</t>
  </si>
  <si>
    <t>预测省份河北</t>
  </si>
  <si>
    <t>预测省份江西</t>
  </si>
  <si>
    <t>预测省份陕西</t>
  </si>
  <si>
    <t>预测省份辽宁</t>
  </si>
  <si>
    <t>预测省份重庆</t>
  </si>
  <si>
    <t>预测省份云南</t>
  </si>
  <si>
    <t>预测省份山西</t>
  </si>
  <si>
    <t>预测省份贵州</t>
  </si>
  <si>
    <t>预测省份广西</t>
  </si>
  <si>
    <t>预测省份黑龙江</t>
  </si>
  <si>
    <t>预测省份天津</t>
  </si>
  <si>
    <t>预测省份吉林</t>
  </si>
  <si>
    <t>预测省份内蒙古</t>
  </si>
  <si>
    <t>预测省份甘肃</t>
  </si>
  <si>
    <t>预测省份新疆</t>
  </si>
  <si>
    <t>预测省份未知</t>
  </si>
  <si>
    <t>预测省份宁夏</t>
  </si>
  <si>
    <t>预测省份青海</t>
  </si>
  <si>
    <t>预测省份西藏</t>
  </si>
  <si>
    <t>预测省份海南</t>
  </si>
  <si>
    <t>预测省份香港</t>
  </si>
  <si>
    <t>预测省份台湾</t>
  </si>
  <si>
    <t>预测省份澳门</t>
  </si>
  <si>
    <t>预测购买时间0-1时</t>
  </si>
  <si>
    <t>预测购买时间1-2时</t>
  </si>
  <si>
    <t>预测购买时间2-3时</t>
  </si>
  <si>
    <t>预测购买时间3-4时</t>
  </si>
  <si>
    <t>预测购买时间4-5时</t>
  </si>
  <si>
    <t>预测购买时间5-6时</t>
  </si>
  <si>
    <t>预测购买时间6-7时</t>
  </si>
  <si>
    <t>预测购买时间7-8时</t>
  </si>
  <si>
    <t>预测购买时间8-9时</t>
  </si>
  <si>
    <t>预测购买时间9-10时</t>
  </si>
  <si>
    <t>预测购买时间10-11时</t>
  </si>
  <si>
    <t>预测购买时间11-12时</t>
  </si>
  <si>
    <t>预测购买时间12-13时</t>
  </si>
  <si>
    <t>预测购买时间13-14时</t>
  </si>
  <si>
    <t>预测购买时间14-15时</t>
  </si>
  <si>
    <t>预测购买时间15-16时</t>
  </si>
  <si>
    <t>预测购买时间16-17时</t>
  </si>
  <si>
    <t>预测购买时间17-18时</t>
  </si>
  <si>
    <t>预测购买时间18-19时</t>
  </si>
  <si>
    <t>预测购买时间19-20时</t>
  </si>
  <si>
    <t>预测购买时间20-21时</t>
  </si>
  <si>
    <t>预测购买时间21-22时</t>
  </si>
  <si>
    <t>预测购买时间22-23时</t>
  </si>
  <si>
    <t>预测购买时间23-0时</t>
  </si>
  <si>
    <t>预测购买时间未知</t>
  </si>
  <si>
    <t>十大策略人群未知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</si>
</sst>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76" formatCode="0.0%"/>
    <numFmt numFmtId="177" formatCode="0.0"/>
    <numFmt numFmtId="178" formatCode="0.0_ "/>
  </numFmts>
  <fonts count="19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0"/>
      <color theme="0"/>
      <name val="微软雅黑"/>
      <family val="2"/>
      <charset val="134"/>
    </font>
    <font>
      <b/>
      <sz val="10"/>
      <color theme="0"/>
      <name val="Arial"/>
      <family val="2"/>
    </font>
    <font>
      <b/>
      <sz val="10"/>
      <color theme="1"/>
      <name val="微软雅黑"/>
      <family val="2"/>
      <charset val="134"/>
    </font>
    <font>
      <sz val="10"/>
      <color theme="1"/>
      <name val="Arial"/>
      <family val="2"/>
    </font>
    <font>
      <sz val="10"/>
      <name val="Arial"/>
      <family val="2"/>
    </font>
    <font>
      <sz val="11"/>
      <color theme="1"/>
      <name val="Microsoft YaHei Light"/>
      <family val="2"/>
      <charset val="134"/>
    </font>
    <font>
      <sz val="11"/>
      <color rgb="FF000000"/>
      <name val="Calibri"/>
      <family val="2"/>
    </font>
    <font>
      <b/>
      <sz val="11"/>
      <color theme="1"/>
      <name val="微软雅黑"/>
      <family val="2"/>
      <charset val="134"/>
    </font>
    <font>
      <sz val="11.5"/>
      <color theme="1"/>
      <name val="Microsoft YaHei UI"/>
      <family val="2"/>
      <charset val="134"/>
    </font>
    <font>
      <b/>
      <sz val="11.5"/>
      <color rgb="FFC00000"/>
      <name val="Microsoft YaHei UI"/>
      <family val="2"/>
      <charset val="134"/>
    </font>
    <font>
      <sz val="11"/>
      <color theme="0"/>
      <name val="微软雅黑"/>
      <family val="2"/>
      <charset val="134"/>
    </font>
    <font>
      <b/>
      <sz val="11"/>
      <color theme="0"/>
      <name val="微软雅黑"/>
      <family val="2"/>
      <charset val="134"/>
    </font>
    <font>
      <b/>
      <sz val="11"/>
      <color rgb="FF002060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1"/>
      <name val="等线"/>
      <family val="3"/>
      <charset val="134"/>
    </font>
  </fonts>
  <fills count="9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7995849482711264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2060"/>
        <bgColor indexed="64"/>
      </patternFill>
    </fill>
  </fills>
  <borders count="31">
    <border>
      <left/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/>
      <diagonal/>
    </border>
    <border>
      <left style="medium">
        <color theme="0" tint="-0.34998626667073579"/>
      </left>
      <right style="medium">
        <color theme="0" tint="-0.34998626667073579"/>
      </right>
      <top/>
      <bottom/>
      <diagonal/>
    </border>
    <border>
      <left style="medium">
        <color theme="0" tint="-0.34998626667073579"/>
      </left>
      <right style="medium">
        <color theme="0" tint="-0.34998626667073579"/>
      </right>
      <top/>
      <bottom style="medium">
        <color theme="0" tint="-0.34998626667073579"/>
      </bottom>
      <diagonal/>
    </border>
    <border>
      <left style="medium">
        <color theme="0" tint="-0.249977111117893"/>
      </left>
      <right style="medium">
        <color theme="0" tint="-0.249977111117893"/>
      </right>
      <top style="medium">
        <color theme="0" tint="-0.249977111117893"/>
      </top>
      <bottom/>
      <diagonal/>
    </border>
    <border>
      <left style="medium">
        <color theme="0" tint="-0.249977111117893"/>
      </left>
      <right style="medium">
        <color theme="0" tint="-0.249977111117893"/>
      </right>
      <top/>
      <bottom/>
      <diagonal/>
    </border>
    <border>
      <left style="medium">
        <color theme="0" tint="-0.249977111117893"/>
      </left>
      <right style="medium">
        <color theme="0" tint="-0.249977111117893"/>
      </right>
      <top/>
      <bottom style="medium">
        <color theme="0" tint="-0.249977111117893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indexed="64"/>
      </left>
      <right/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theme="0" tint="-0.249977111117893"/>
      </right>
      <top style="medium">
        <color theme="0" tint="-0.249977111117893"/>
      </top>
      <bottom/>
      <diagonal/>
    </border>
    <border>
      <left/>
      <right style="medium">
        <color theme="0" tint="-0.249977111117893"/>
      </right>
      <top/>
      <bottom/>
      <diagonal/>
    </border>
    <border>
      <left/>
      <right style="medium">
        <color theme="0" tint="-0.249977111117893"/>
      </right>
      <top/>
      <bottom style="medium">
        <color theme="0" tint="-0.249977111117893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 style="medium">
        <color indexed="64"/>
      </bottom>
      <diagonal/>
    </border>
    <border>
      <left/>
      <right style="medium">
        <color auto="1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/>
      <right style="medium">
        <color auto="1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9" fontId="2" fillId="0" borderId="0"/>
    <xf numFmtId="0" fontId="1" fillId="0" borderId="0"/>
    <xf numFmtId="0" fontId="10" fillId="0" borderId="0"/>
    <xf numFmtId="0" fontId="2" fillId="0" borderId="0"/>
  </cellStyleXfs>
  <cellXfs count="71">
    <xf numFmtId="0" fontId="0" fillId="0" borderId="0" xfId="0"/>
    <xf numFmtId="0" fontId="5" fillId="3" borderId="1" xfId="2" applyFont="1" applyFill="1" applyBorder="1" applyAlignment="1">
      <alignment horizontal="center" vertical="center"/>
    </xf>
    <xf numFmtId="176" fontId="12" fillId="5" borderId="6" xfId="4" applyNumberFormat="1" applyFont="1" applyFill="1" applyBorder="1" applyAlignment="1">
      <alignment horizontal="center" vertical="center"/>
    </xf>
    <xf numFmtId="176" fontId="12" fillId="5" borderId="7" xfId="4" applyNumberFormat="1" applyFont="1" applyFill="1" applyBorder="1" applyAlignment="1">
      <alignment horizontal="center" vertical="center"/>
    </xf>
    <xf numFmtId="176" fontId="12" fillId="5" borderId="8" xfId="4" applyNumberFormat="1" applyFont="1" applyFill="1" applyBorder="1" applyAlignment="1">
      <alignment horizontal="center" vertical="center"/>
    </xf>
    <xf numFmtId="177" fontId="13" fillId="7" borderId="6" xfId="4" applyNumberFormat="1" applyFont="1" applyFill="1" applyBorder="1" applyAlignment="1">
      <alignment horizontal="center" vertical="center"/>
    </xf>
    <xf numFmtId="176" fontId="12" fillId="5" borderId="9" xfId="4" applyNumberFormat="1" applyFont="1" applyFill="1" applyBorder="1" applyAlignment="1">
      <alignment horizontal="center" vertical="center"/>
    </xf>
    <xf numFmtId="176" fontId="12" fillId="5" borderId="10" xfId="4" applyNumberFormat="1" applyFont="1" applyFill="1" applyBorder="1" applyAlignment="1">
      <alignment horizontal="center" vertical="center"/>
    </xf>
    <xf numFmtId="176" fontId="12" fillId="5" borderId="11" xfId="4" applyNumberFormat="1" applyFont="1" applyFill="1" applyBorder="1" applyAlignment="1">
      <alignment horizontal="center" vertical="center"/>
    </xf>
    <xf numFmtId="0" fontId="11" fillId="0" borderId="0" xfId="0" applyFont="1"/>
    <xf numFmtId="10" fontId="11" fillId="0" borderId="9" xfId="0" applyNumberFormat="1" applyFont="1" applyBorder="1" applyAlignment="1">
      <alignment horizontal="center"/>
    </xf>
    <xf numFmtId="10" fontId="11" fillId="0" borderId="10" xfId="0" applyNumberFormat="1" applyFont="1" applyBorder="1" applyAlignment="1">
      <alignment horizontal="center"/>
    </xf>
    <xf numFmtId="10" fontId="11" fillId="0" borderId="11" xfId="0" applyNumberFormat="1" applyFont="1" applyBorder="1" applyAlignment="1">
      <alignment horizontal="center"/>
    </xf>
    <xf numFmtId="0" fontId="6" fillId="0" borderId="12" xfId="2" applyFont="1" applyBorder="1" applyAlignment="1">
      <alignment horizontal="center" vertical="center"/>
    </xf>
    <xf numFmtId="10" fontId="7" fillId="0" borderId="5" xfId="1" applyNumberFormat="1" applyFont="1" applyBorder="1" applyAlignment="1">
      <alignment horizontal="center" vertical="center"/>
    </xf>
    <xf numFmtId="0" fontId="6" fillId="0" borderId="13" xfId="2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178" fontId="9" fillId="6" borderId="5" xfId="0" applyNumberFormat="1" applyFont="1" applyFill="1" applyBorder="1" applyAlignment="1">
      <alignment horizontal="center" vertical="center"/>
    </xf>
    <xf numFmtId="0" fontId="6" fillId="5" borderId="13" xfId="2" applyFont="1" applyFill="1" applyBorder="1" applyAlignment="1">
      <alignment horizontal="center" vertical="center"/>
    </xf>
    <xf numFmtId="10" fontId="7" fillId="5" borderId="14" xfId="1" applyNumberFormat="1" applyFont="1" applyFill="1" applyBorder="1" applyAlignment="1">
      <alignment horizontal="center" vertical="center"/>
    </xf>
    <xf numFmtId="0" fontId="6" fillId="5" borderId="12" xfId="2" applyFont="1" applyFill="1" applyBorder="1" applyAlignment="1">
      <alignment horizontal="center" vertical="center"/>
    </xf>
    <xf numFmtId="10" fontId="7" fillId="5" borderId="5" xfId="1" applyNumberFormat="1" applyFont="1" applyFill="1" applyBorder="1" applyAlignment="1">
      <alignment horizontal="center" vertical="center"/>
    </xf>
    <xf numFmtId="0" fontId="6" fillId="5" borderId="5" xfId="2" applyFont="1" applyFill="1" applyBorder="1" applyAlignment="1">
      <alignment horizontal="center" vertical="center"/>
    </xf>
    <xf numFmtId="0" fontId="6" fillId="5" borderId="0" xfId="2" applyFont="1" applyFill="1" applyAlignment="1">
      <alignment horizontal="center" vertical="center"/>
    </xf>
    <xf numFmtId="10" fontId="8" fillId="5" borderId="0" xfId="1" applyNumberFormat="1" applyFont="1" applyFill="1" applyAlignment="1">
      <alignment horizontal="center" vertical="center"/>
    </xf>
    <xf numFmtId="0" fontId="11" fillId="0" borderId="0" xfId="0" applyFont="1" applyAlignment="1">
      <alignment horizontal="center"/>
    </xf>
    <xf numFmtId="176" fontId="12" fillId="5" borderId="17" xfId="4" applyNumberFormat="1" applyFont="1" applyFill="1" applyBorder="1" applyAlignment="1">
      <alignment horizontal="center" vertical="center"/>
    </xf>
    <xf numFmtId="176" fontId="12" fillId="5" borderId="18" xfId="4" applyNumberFormat="1" applyFont="1" applyFill="1" applyBorder="1" applyAlignment="1">
      <alignment horizontal="center" vertical="center"/>
    </xf>
    <xf numFmtId="176" fontId="12" fillId="5" borderId="19" xfId="4" applyNumberFormat="1" applyFont="1" applyFill="1" applyBorder="1" applyAlignment="1">
      <alignment horizontal="center" vertical="center"/>
    </xf>
    <xf numFmtId="0" fontId="6" fillId="5" borderId="14" xfId="2" applyFont="1" applyFill="1" applyBorder="1" applyAlignment="1">
      <alignment horizontal="center" vertical="center"/>
    </xf>
    <xf numFmtId="0" fontId="6" fillId="5" borderId="3" xfId="2" applyFont="1" applyFill="1" applyBorder="1" applyAlignment="1">
      <alignment horizontal="center" vertical="center"/>
    </xf>
    <xf numFmtId="0" fontId="17" fillId="0" borderId="0" xfId="0" applyFont="1"/>
    <xf numFmtId="0" fontId="6" fillId="0" borderId="23" xfId="2" applyFont="1" applyBorder="1" applyAlignment="1">
      <alignment horizontal="center" vertical="center"/>
    </xf>
    <xf numFmtId="0" fontId="6" fillId="0" borderId="24" xfId="2" applyFont="1" applyBorder="1" applyAlignment="1">
      <alignment horizontal="center" vertical="center"/>
    </xf>
    <xf numFmtId="0" fontId="6" fillId="0" borderId="3" xfId="2" applyFont="1" applyBorder="1" applyAlignment="1">
      <alignment horizontal="center" vertical="center"/>
    </xf>
    <xf numFmtId="0" fontId="6" fillId="0" borderId="14" xfId="2" applyFont="1" applyBorder="1" applyAlignment="1">
      <alignment horizontal="center" vertical="center"/>
    </xf>
    <xf numFmtId="0" fontId="6" fillId="0" borderId="25" xfId="2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0" xfId="2" applyFont="1" applyAlignment="1">
      <alignment horizontal="center" vertical="center"/>
    </xf>
    <xf numFmtId="10" fontId="7" fillId="5" borderId="3" xfId="1" applyNumberFormat="1" applyFont="1" applyFill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3" fontId="6" fillId="4" borderId="20" xfId="2" applyNumberFormat="1" applyFont="1" applyFill="1" applyBorder="1" applyAlignment="1">
      <alignment horizontal="center" vertical="center"/>
    </xf>
    <xf numFmtId="0" fontId="14" fillId="5" borderId="0" xfId="0" applyFont="1" applyFill="1" applyAlignment="1">
      <alignment horizontal="right"/>
    </xf>
    <xf numFmtId="0" fontId="16" fillId="5" borderId="0" xfId="0" applyFont="1" applyFill="1" applyAlignment="1">
      <alignment horizontal="center"/>
    </xf>
    <xf numFmtId="0" fontId="14" fillId="5" borderId="0" xfId="0" applyFont="1" applyFill="1" applyAlignment="1">
      <alignment horizontal="center"/>
    </xf>
    <xf numFmtId="0" fontId="15" fillId="5" borderId="0" xfId="0" applyFont="1" applyFill="1" applyAlignment="1">
      <alignment horizontal="right"/>
    </xf>
    <xf numFmtId="10" fontId="7" fillId="5" borderId="20" xfId="1" applyNumberFormat="1" applyFont="1" applyFill="1" applyBorder="1" applyAlignment="1">
      <alignment horizontal="center" vertical="center"/>
    </xf>
    <xf numFmtId="0" fontId="18" fillId="0" borderId="30" xfId="0" applyFont="1" applyBorder="1" applyAlignment="1">
      <alignment horizontal="center" vertical="top"/>
    </xf>
    <xf numFmtId="0" fontId="4" fillId="2" borderId="15" xfId="2" applyFont="1" applyFill="1" applyBorder="1" applyAlignment="1">
      <alignment horizontal="center" vertical="center"/>
    </xf>
    <xf numFmtId="0" fontId="0" fillId="0" borderId="16" xfId="0" applyBorder="1"/>
    <xf numFmtId="0" fontId="6" fillId="5" borderId="27" xfId="2" applyFont="1" applyFill="1" applyBorder="1" applyAlignment="1">
      <alignment horizontal="center" vertical="center" wrapText="1"/>
    </xf>
    <xf numFmtId="0" fontId="0" fillId="0" borderId="29" xfId="0" applyBorder="1"/>
    <xf numFmtId="0" fontId="0" fillId="0" borderId="28" xfId="0" applyBorder="1"/>
    <xf numFmtId="0" fontId="15" fillId="8" borderId="0" xfId="0" applyFont="1" applyFill="1" applyAlignment="1">
      <alignment horizontal="center"/>
    </xf>
    <xf numFmtId="0" fontId="11" fillId="0" borderId="0" xfId="0" applyFont="1"/>
    <xf numFmtId="0" fontId="6" fillId="5" borderId="21" xfId="2" applyFont="1" applyFill="1" applyBorder="1" applyAlignment="1">
      <alignment horizontal="center" vertical="center" wrapText="1"/>
    </xf>
    <xf numFmtId="0" fontId="0" fillId="0" borderId="22" xfId="0" applyBorder="1"/>
    <xf numFmtId="0" fontId="0" fillId="0" borderId="26" xfId="0" applyBorder="1"/>
    <xf numFmtId="0" fontId="11" fillId="0" borderId="4" xfId="0" applyFont="1" applyBorder="1" applyAlignment="1">
      <alignment horizontal="center" vertical="center"/>
    </xf>
    <xf numFmtId="0" fontId="0" fillId="0" borderId="2" xfId="0" applyBorder="1"/>
    <xf numFmtId="0" fontId="6" fillId="5" borderId="1" xfId="2" applyFont="1" applyFill="1" applyBorder="1" applyAlignment="1">
      <alignment horizontal="center" vertical="center"/>
    </xf>
    <xf numFmtId="0" fontId="6" fillId="0" borderId="27" xfId="2" applyFont="1" applyBorder="1" applyAlignment="1">
      <alignment horizontal="center" vertical="center"/>
    </xf>
    <xf numFmtId="0" fontId="6" fillId="4" borderId="21" xfId="2" applyFont="1" applyFill="1" applyBorder="1" applyAlignment="1">
      <alignment horizontal="center" vertical="center"/>
    </xf>
    <xf numFmtId="0" fontId="0" fillId="0" borderId="21" xfId="0" applyBorder="1"/>
    <xf numFmtId="0" fontId="4" fillId="2" borderId="4" xfId="2" applyFont="1" applyFill="1" applyBorder="1" applyAlignment="1">
      <alignment horizontal="center" vertical="center"/>
    </xf>
    <xf numFmtId="0" fontId="6" fillId="5" borderId="1" xfId="2" applyFont="1" applyFill="1" applyBorder="1" applyAlignment="1">
      <alignment horizontal="center" vertical="center" wrapText="1"/>
    </xf>
    <xf numFmtId="0" fontId="6" fillId="0" borderId="21" xfId="2" applyFont="1" applyBorder="1" applyAlignment="1">
      <alignment horizontal="center" vertical="center"/>
    </xf>
    <xf numFmtId="0" fontId="6" fillId="5" borderId="21" xfId="2" applyFont="1" applyFill="1" applyBorder="1" applyAlignment="1">
      <alignment horizontal="center" vertical="center"/>
    </xf>
    <xf numFmtId="0" fontId="6" fillId="0" borderId="27" xfId="2" applyFont="1" applyBorder="1" applyAlignment="1">
      <alignment horizontal="center" vertical="center" wrapText="1"/>
    </xf>
    <xf numFmtId="0" fontId="6" fillId="0" borderId="21" xfId="2" applyFont="1" applyBorder="1" applyAlignment="1">
      <alignment horizontal="center" vertical="center" wrapText="1"/>
    </xf>
    <xf numFmtId="0" fontId="6" fillId="5" borderId="27" xfId="2" applyFont="1" applyFill="1" applyBorder="1" applyAlignment="1">
      <alignment horizontal="center" vertical="center"/>
    </xf>
  </cellXfs>
  <cellStyles count="5">
    <cellStyle name="Normal 3" xfId="4" xr:uid="{00000000-0005-0000-0000-000004000000}"/>
    <cellStyle name="百分比" xfId="1" builtinId="5"/>
    <cellStyle name="常规" xfId="0" builtinId="0"/>
    <cellStyle name="常规 2" xfId="3" xr:uid="{00000000-0005-0000-0000-000003000000}"/>
    <cellStyle name="常规 2 2 2 2" xfId="2" xr:uid="{00000000-0005-0000-0000-000002000000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theme="0"/>
        <name val="微软雅黑"/>
        <family val="2"/>
        <charset val="134"/>
      </font>
      <fill>
        <patternFill patternType="solid">
          <fgColor indexed="64"/>
          <bgColor theme="0"/>
        </patternFill>
      </fill>
      <alignment horizontal="right" vertical="bottom"/>
    </dxf>
    <dxf>
      <border outline="0">
        <right style="medium">
          <color auto="1"/>
        </right>
      </border>
    </dxf>
    <dxf>
      <font>
        <strike val="0"/>
        <condense val="0"/>
        <extend val="0"/>
        <outline val="0"/>
        <shadow val="0"/>
        <vertAlign val="baseline"/>
        <sz val="11"/>
        <color theme="0"/>
        <name val="微软雅黑"/>
        <family val="2"/>
        <charset val="134"/>
      </font>
      <fill>
        <patternFill patternType="solid">
          <fgColor indexed="64"/>
          <bgColor theme="0"/>
        </patternFill>
      </fill>
      <alignment horizontal="right" vertical="bottom"/>
    </dxf>
    <dxf>
      <font>
        <b/>
        <strike val="0"/>
        <condense val="0"/>
        <extend val="0"/>
        <outline val="0"/>
        <shadow val="0"/>
        <vertAlign val="baseline"/>
        <sz val="11"/>
        <color rgb="FF002060"/>
        <name val="微软雅黑"/>
        <family val="2"/>
        <charset val="134"/>
      </font>
      <fill>
        <patternFill patternType="solid">
          <fgColor indexed="64"/>
          <bgColor theme="0"/>
        </patternFill>
      </fill>
      <alignment horizontal="center" vertical="bottom"/>
    </dxf>
  </dxfs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表2" displayName="表2" ref="A5:A214" totalsRowShown="0" headerRowDxfId="5" dataDxfId="4" tableBorderDxfId="3">
  <autoFilter ref="A5:A214" xr:uid="{00000000-0009-0000-0100-000001000000}">
    <filterColumn colId="0">
      <filters>
        <filter val="彩妆年消费金额"/>
        <filter val="彩妆年消费频次"/>
        <filter val="策略人群"/>
        <filter val="购买者年龄分布"/>
        <filter val="购买者所处城市等级"/>
        <filter val="护肤年消费金额"/>
        <filter val="护肤年消费频次"/>
        <filter val="性别"/>
        <filter val="预测购买力"/>
      </filters>
    </filterColumn>
  </autoFilter>
  <tableColumns count="1">
    <tableColumn id="1" xr3:uid="{00000000-0010-0000-0000-000001000000}" name="标签筛选" dataDxfId="2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280"/>
  <sheetViews>
    <sheetView showGridLines="0" tabSelected="1" zoomScale="70" zoomScaleNormal="70" workbookViewId="0"/>
  </sheetViews>
  <sheetFormatPr defaultRowHeight="16.5"/>
  <cols>
    <col min="1" max="1" width="12.6640625" style="42" customWidth="1"/>
    <col min="2" max="2" width="16.5" customWidth="1"/>
    <col min="3" max="3" width="18" customWidth="1"/>
    <col min="4" max="12" width="25.08203125" customWidth="1"/>
  </cols>
  <sheetData>
    <row r="2" spans="1:12" ht="14.5" customHeight="1" thickBot="1"/>
    <row r="3" spans="1:12" ht="14.5" customHeight="1" thickBot="1">
      <c r="B3" s="48" t="s">
        <v>0</v>
      </c>
      <c r="C3" s="64" t="s">
        <v>1</v>
      </c>
      <c r="D3" s="1"/>
    </row>
    <row r="4" spans="1:12" s="31" customFormat="1" ht="14.5" customHeight="1" thickBot="1">
      <c r="A4" s="42"/>
      <c r="B4" s="49"/>
      <c r="C4" s="59"/>
      <c r="D4" s="40" t="str">
        <f>'1'!B1</f>
        <v>新建 文本文档</v>
      </c>
      <c r="E4" s="40">
        <f>'1'!C1</f>
        <v>0</v>
      </c>
      <c r="F4" s="40">
        <f>'1'!D1</f>
        <v>0</v>
      </c>
      <c r="G4" s="40">
        <f>'1'!E1</f>
        <v>0</v>
      </c>
      <c r="H4" s="40">
        <f>'1'!F1</f>
        <v>0</v>
      </c>
      <c r="I4" s="40">
        <f>'1'!G1</f>
        <v>0</v>
      </c>
      <c r="J4" s="40">
        <f>'1'!H1</f>
        <v>0</v>
      </c>
      <c r="K4" s="40">
        <f>'1'!I1</f>
        <v>0</v>
      </c>
      <c r="L4" s="40">
        <f>'1'!J1</f>
        <v>0</v>
      </c>
    </row>
    <row r="5" spans="1:12" s="31" customFormat="1" ht="15" customHeight="1" thickBot="1">
      <c r="A5" s="43" t="s">
        <v>2</v>
      </c>
      <c r="B5" s="62" t="s">
        <v>3</v>
      </c>
      <c r="C5" s="63"/>
      <c r="D5" s="41">
        <f>'1'!B2</f>
        <v>42410</v>
      </c>
      <c r="E5" s="41">
        <f>'1'!C2</f>
        <v>0</v>
      </c>
      <c r="F5" s="41">
        <f>'1'!D2</f>
        <v>0</v>
      </c>
      <c r="G5" s="41">
        <f>'1'!E2</f>
        <v>0</v>
      </c>
      <c r="H5" s="41">
        <f>'1'!F2</f>
        <v>0</v>
      </c>
      <c r="I5" s="41">
        <f>'1'!G2</f>
        <v>0</v>
      </c>
      <c r="J5" s="41">
        <f>'1'!H2</f>
        <v>0</v>
      </c>
      <c r="K5" s="41">
        <f>'1'!I2</f>
        <v>0</v>
      </c>
      <c r="L5" s="41">
        <f>'1'!J2</f>
        <v>0</v>
      </c>
    </row>
    <row r="6" spans="1:12" ht="14.5" customHeight="1" thickBot="1">
      <c r="A6" s="42" t="s">
        <v>4</v>
      </c>
      <c r="B6" s="66" t="s">
        <v>4</v>
      </c>
      <c r="C6" s="13" t="s">
        <v>5</v>
      </c>
      <c r="D6" s="14">
        <f>'1'!B3</f>
        <v>4.2599999999999999E-2</v>
      </c>
      <c r="E6" s="14">
        <f>'1'!C3</f>
        <v>0</v>
      </c>
      <c r="F6" s="14">
        <f>'1'!D3</f>
        <v>0</v>
      </c>
      <c r="G6" s="14">
        <f>'1'!E3</f>
        <v>0</v>
      </c>
      <c r="H6" s="14">
        <f>'1'!F3</f>
        <v>0</v>
      </c>
      <c r="I6" s="14">
        <f>'1'!G3</f>
        <v>0</v>
      </c>
      <c r="J6" s="14">
        <f>'1'!H3</f>
        <v>0</v>
      </c>
      <c r="K6" s="14">
        <f>'1'!I3</f>
        <v>0</v>
      </c>
      <c r="L6" s="14">
        <f>'1'!J3</f>
        <v>0</v>
      </c>
    </row>
    <row r="7" spans="1:12" ht="15" customHeight="1" thickBot="1">
      <c r="A7" s="42" t="s">
        <v>4</v>
      </c>
      <c r="B7" s="56"/>
      <c r="C7" s="15" t="s">
        <v>6</v>
      </c>
      <c r="D7" s="14">
        <f>'1'!B4</f>
        <v>0.95660000000000001</v>
      </c>
      <c r="E7" s="14">
        <f>'1'!C4</f>
        <v>0</v>
      </c>
      <c r="F7" s="14">
        <f>'1'!D4</f>
        <v>0</v>
      </c>
      <c r="G7" s="14">
        <f>'1'!E4</f>
        <v>0</v>
      </c>
      <c r="H7" s="14">
        <f>'1'!F4</f>
        <v>0</v>
      </c>
      <c r="I7" s="14">
        <f>'1'!G4</f>
        <v>0</v>
      </c>
      <c r="J7" s="14">
        <f>'1'!H4</f>
        <v>0</v>
      </c>
      <c r="K7" s="14">
        <f>'1'!I4</f>
        <v>0</v>
      </c>
      <c r="L7" s="14">
        <f>'1'!J4</f>
        <v>0</v>
      </c>
    </row>
    <row r="8" spans="1:12" ht="15" customHeight="1" thickBot="1">
      <c r="A8" s="42" t="s">
        <v>4</v>
      </c>
      <c r="B8" s="57"/>
      <c r="C8" s="15" t="s">
        <v>7</v>
      </c>
      <c r="D8" s="14">
        <f>'1'!B5</f>
        <v>8.0000000000000004E-4</v>
      </c>
      <c r="E8" s="14">
        <f>'1'!C5</f>
        <v>0</v>
      </c>
      <c r="F8" s="14">
        <f>'1'!D5</f>
        <v>0</v>
      </c>
      <c r="G8" s="14">
        <f>'1'!E5</f>
        <v>0</v>
      </c>
      <c r="H8" s="14">
        <f>'1'!F5</f>
        <v>0</v>
      </c>
      <c r="I8" s="14">
        <f>'1'!G5</f>
        <v>0</v>
      </c>
      <c r="J8" s="14">
        <f>'1'!H5</f>
        <v>0</v>
      </c>
      <c r="K8" s="14">
        <f>'1'!I5</f>
        <v>0</v>
      </c>
      <c r="L8" s="14">
        <f>'1'!J5</f>
        <v>0</v>
      </c>
    </row>
    <row r="9" spans="1:12" ht="14.5" customHeight="1" thickBot="1">
      <c r="A9" s="42" t="s">
        <v>8</v>
      </c>
      <c r="B9" s="55" t="s">
        <v>8</v>
      </c>
      <c r="C9" s="16" t="s">
        <v>9</v>
      </c>
      <c r="D9" s="17">
        <f t="shared" ref="D9:L9" si="0">21*D10+27*D11+32*D12+37*D13+42*D14+45*D15</f>
        <v>28.695</v>
      </c>
      <c r="E9" s="17">
        <f t="shared" si="0"/>
        <v>0</v>
      </c>
      <c r="F9" s="17">
        <f t="shared" si="0"/>
        <v>0</v>
      </c>
      <c r="G9" s="17">
        <f t="shared" si="0"/>
        <v>0</v>
      </c>
      <c r="H9" s="17">
        <f t="shared" si="0"/>
        <v>0</v>
      </c>
      <c r="I9" s="17">
        <f t="shared" si="0"/>
        <v>0</v>
      </c>
      <c r="J9" s="17">
        <f t="shared" si="0"/>
        <v>0</v>
      </c>
      <c r="K9" s="17">
        <f t="shared" si="0"/>
        <v>0</v>
      </c>
      <c r="L9" s="17">
        <f t="shared" si="0"/>
        <v>0</v>
      </c>
    </row>
    <row r="10" spans="1:12" ht="14.5" customHeight="1">
      <c r="A10" s="42" t="s">
        <v>8</v>
      </c>
      <c r="B10" s="56"/>
      <c r="C10" s="18" t="s">
        <v>10</v>
      </c>
      <c r="D10" s="21">
        <f>'1'!B6</f>
        <v>0.2382</v>
      </c>
      <c r="E10" s="21">
        <f>'1'!C6</f>
        <v>0</v>
      </c>
      <c r="F10" s="21">
        <f>'1'!D6</f>
        <v>0</v>
      </c>
      <c r="G10" s="21">
        <f>'1'!E6</f>
        <v>0</v>
      </c>
      <c r="H10" s="21">
        <f>'1'!F6</f>
        <v>0</v>
      </c>
      <c r="I10" s="21">
        <f>'1'!G6</f>
        <v>0</v>
      </c>
      <c r="J10" s="21">
        <f>'1'!H6</f>
        <v>0</v>
      </c>
      <c r="K10" s="21">
        <f>'1'!I6</f>
        <v>0</v>
      </c>
      <c r="L10" s="21">
        <f>'1'!J6</f>
        <v>0</v>
      </c>
    </row>
    <row r="11" spans="1:12" ht="14.5" customHeight="1">
      <c r="A11" s="42" t="s">
        <v>8</v>
      </c>
      <c r="B11" s="56"/>
      <c r="C11" s="18" t="s">
        <v>11</v>
      </c>
      <c r="D11" s="19">
        <f>'1'!B7</f>
        <v>0.38069999999999998</v>
      </c>
      <c r="E11" s="19">
        <f>'1'!C7</f>
        <v>0</v>
      </c>
      <c r="F11" s="19">
        <f>'1'!D7</f>
        <v>0</v>
      </c>
      <c r="G11" s="19">
        <f>'1'!E7</f>
        <v>0</v>
      </c>
      <c r="H11" s="19">
        <f>'1'!F7</f>
        <v>0</v>
      </c>
      <c r="I11" s="19">
        <f>'1'!G7</f>
        <v>0</v>
      </c>
      <c r="J11" s="19">
        <f>'1'!H7</f>
        <v>0</v>
      </c>
      <c r="K11" s="19">
        <f>'1'!I7</f>
        <v>0</v>
      </c>
      <c r="L11" s="19">
        <f>'1'!J7</f>
        <v>0</v>
      </c>
    </row>
    <row r="12" spans="1:12" ht="14.5" customHeight="1">
      <c r="A12" s="42" t="s">
        <v>8</v>
      </c>
      <c r="B12" s="56"/>
      <c r="C12" s="18" t="s">
        <v>12</v>
      </c>
      <c r="D12" s="19">
        <f>'1'!B8</f>
        <v>0.20200000000000001</v>
      </c>
      <c r="E12" s="19">
        <f>'1'!C8</f>
        <v>0</v>
      </c>
      <c r="F12" s="19">
        <f>'1'!D8</f>
        <v>0</v>
      </c>
      <c r="G12" s="19">
        <f>'1'!E8</f>
        <v>0</v>
      </c>
      <c r="H12" s="19">
        <f>'1'!F8</f>
        <v>0</v>
      </c>
      <c r="I12" s="19">
        <f>'1'!G8</f>
        <v>0</v>
      </c>
      <c r="J12" s="19">
        <f>'1'!H8</f>
        <v>0</v>
      </c>
      <c r="K12" s="19">
        <f>'1'!I8</f>
        <v>0</v>
      </c>
      <c r="L12" s="19">
        <f>'1'!J8</f>
        <v>0</v>
      </c>
    </row>
    <row r="13" spans="1:12" ht="15" customHeight="1">
      <c r="A13" s="44" t="s">
        <v>8</v>
      </c>
      <c r="B13" s="56"/>
      <c r="C13" s="18" t="s">
        <v>13</v>
      </c>
      <c r="D13" s="19">
        <f>'1'!B9</f>
        <v>0.1066</v>
      </c>
      <c r="E13" s="19">
        <f>'1'!C9</f>
        <v>0</v>
      </c>
      <c r="F13" s="19">
        <f>'1'!D9</f>
        <v>0</v>
      </c>
      <c r="G13" s="19">
        <f>'1'!E9</f>
        <v>0</v>
      </c>
      <c r="H13" s="19">
        <f>'1'!F9</f>
        <v>0</v>
      </c>
      <c r="I13" s="19">
        <f>'1'!G9</f>
        <v>0</v>
      </c>
      <c r="J13" s="19">
        <f>'1'!H9</f>
        <v>0</v>
      </c>
      <c r="K13" s="19">
        <f>'1'!I9</f>
        <v>0</v>
      </c>
      <c r="L13" s="19">
        <f>'1'!J9</f>
        <v>0</v>
      </c>
    </row>
    <row r="14" spans="1:12" ht="14.5" customHeight="1">
      <c r="A14" s="42" t="s">
        <v>8</v>
      </c>
      <c r="B14" s="56"/>
      <c r="C14" s="18" t="s">
        <v>14</v>
      </c>
      <c r="D14" s="19">
        <f>'1'!B10</f>
        <v>3.4599999999999999E-2</v>
      </c>
      <c r="E14" s="19">
        <f>'1'!C10</f>
        <v>0</v>
      </c>
      <c r="F14" s="19">
        <f>'1'!D10</f>
        <v>0</v>
      </c>
      <c r="G14" s="19">
        <f>'1'!E10</f>
        <v>0</v>
      </c>
      <c r="H14" s="19">
        <f>'1'!F10</f>
        <v>0</v>
      </c>
      <c r="I14" s="19">
        <f>'1'!G10</f>
        <v>0</v>
      </c>
      <c r="J14" s="19">
        <f>'1'!H10</f>
        <v>0</v>
      </c>
      <c r="K14" s="19">
        <f>'1'!I10</f>
        <v>0</v>
      </c>
      <c r="L14" s="19">
        <f>'1'!J10</f>
        <v>0</v>
      </c>
    </row>
    <row r="15" spans="1:12" ht="15" customHeight="1">
      <c r="A15" s="42" t="s">
        <v>8</v>
      </c>
      <c r="B15" s="56"/>
      <c r="C15" s="18" t="s">
        <v>15</v>
      </c>
      <c r="D15" s="19">
        <f>'1'!B11+'1'!B12+'1'!B13+'1'!B14</f>
        <v>3.4500000000000003E-2</v>
      </c>
      <c r="E15" s="19">
        <f>'1'!C11+'1'!C12+'1'!C13+'1'!C14</f>
        <v>0</v>
      </c>
      <c r="F15" s="19">
        <f>'1'!D11+'1'!D12+'1'!D13+'1'!D14</f>
        <v>0</v>
      </c>
      <c r="G15" s="19">
        <f>'1'!E11+'1'!E12+'1'!E13+'1'!E14</f>
        <v>0</v>
      </c>
      <c r="H15" s="19">
        <f>'1'!F11+'1'!F12+'1'!F13+'1'!F14</f>
        <v>0</v>
      </c>
      <c r="I15" s="19">
        <f>'1'!G11+'1'!G12+'1'!G13+'1'!G14</f>
        <v>0</v>
      </c>
      <c r="J15" s="19">
        <f>'1'!H11+'1'!H12+'1'!H13+'1'!H14</f>
        <v>0</v>
      </c>
      <c r="K15" s="19">
        <f>'1'!I11+'1'!I12+'1'!I13+'1'!I14</f>
        <v>0</v>
      </c>
      <c r="L15" s="19">
        <f>'1'!J11+'1'!J12+'1'!J13+'1'!J14</f>
        <v>0</v>
      </c>
    </row>
    <row r="16" spans="1:12" ht="14.5" customHeight="1" thickBot="1">
      <c r="A16" s="42" t="s">
        <v>8</v>
      </c>
      <c r="B16" s="57"/>
      <c r="C16" s="18" t="s">
        <v>16</v>
      </c>
      <c r="D16" s="39">
        <f>'1'!B15</f>
        <v>3.3E-3</v>
      </c>
      <c r="E16" s="39">
        <f>'1'!C15</f>
        <v>0</v>
      </c>
      <c r="F16" s="39">
        <f>'1'!D15</f>
        <v>0</v>
      </c>
      <c r="G16" s="39">
        <f>'1'!E15</f>
        <v>0</v>
      </c>
      <c r="H16" s="39">
        <f>'1'!F15</f>
        <v>0</v>
      </c>
      <c r="I16" s="39">
        <f>'1'!G15</f>
        <v>0</v>
      </c>
      <c r="J16" s="39">
        <f>'1'!H15</f>
        <v>0</v>
      </c>
      <c r="K16" s="39">
        <f>'1'!I15</f>
        <v>0</v>
      </c>
      <c r="L16" s="39">
        <f>'1'!J15</f>
        <v>0</v>
      </c>
    </row>
    <row r="17" spans="1:12" ht="14.5" customHeight="1" thickBot="1">
      <c r="A17" s="42" t="s">
        <v>17</v>
      </c>
      <c r="B17" s="69" t="s">
        <v>17</v>
      </c>
      <c r="C17" s="13" t="s">
        <v>18</v>
      </c>
      <c r="D17" s="21">
        <f>'1'!B16</f>
        <v>0.13439999999999999</v>
      </c>
      <c r="E17" s="21">
        <f>'1'!C16</f>
        <v>0</v>
      </c>
      <c r="F17" s="21">
        <f>'1'!D16</f>
        <v>0</v>
      </c>
      <c r="G17" s="21">
        <f>'1'!E16</f>
        <v>0</v>
      </c>
      <c r="H17" s="21">
        <f>'1'!F16</f>
        <v>0</v>
      </c>
      <c r="I17" s="21">
        <f>'1'!G16</f>
        <v>0</v>
      </c>
      <c r="J17" s="21">
        <f>'1'!H16</f>
        <v>0</v>
      </c>
      <c r="K17" s="21">
        <f>'1'!I16</f>
        <v>0</v>
      </c>
      <c r="L17" s="21">
        <f>'1'!J16</f>
        <v>0</v>
      </c>
    </row>
    <row r="18" spans="1:12" ht="14.5" customHeight="1">
      <c r="A18" s="42" t="s">
        <v>17</v>
      </c>
      <c r="B18" s="56"/>
      <c r="C18" s="15" t="s">
        <v>19</v>
      </c>
      <c r="D18" s="19">
        <f>'1'!B17</f>
        <v>0.32929999999999998</v>
      </c>
      <c r="E18" s="19">
        <f>'1'!C17</f>
        <v>0</v>
      </c>
      <c r="F18" s="19">
        <f>'1'!D17</f>
        <v>0</v>
      </c>
      <c r="G18" s="19">
        <f>'1'!E17</f>
        <v>0</v>
      </c>
      <c r="H18" s="19">
        <f>'1'!F17</f>
        <v>0</v>
      </c>
      <c r="I18" s="19">
        <f>'1'!G17</f>
        <v>0</v>
      </c>
      <c r="J18" s="19">
        <f>'1'!H17</f>
        <v>0</v>
      </c>
      <c r="K18" s="19">
        <f>'1'!I17</f>
        <v>0</v>
      </c>
      <c r="L18" s="19">
        <f>'1'!J17</f>
        <v>0</v>
      </c>
    </row>
    <row r="19" spans="1:12" ht="14.5" customHeight="1">
      <c r="A19" s="42" t="s">
        <v>17</v>
      </c>
      <c r="B19" s="56"/>
      <c r="C19" s="15" t="s">
        <v>20</v>
      </c>
      <c r="D19" s="19">
        <f>'1'!B18</f>
        <v>0.2034</v>
      </c>
      <c r="E19" s="19">
        <f>'1'!C18</f>
        <v>0</v>
      </c>
      <c r="F19" s="19">
        <f>'1'!D18</f>
        <v>0</v>
      </c>
      <c r="G19" s="19">
        <f>'1'!E18</f>
        <v>0</v>
      </c>
      <c r="H19" s="19">
        <f>'1'!F18</f>
        <v>0</v>
      </c>
      <c r="I19" s="19">
        <f>'1'!G18</f>
        <v>0</v>
      </c>
      <c r="J19" s="19">
        <f>'1'!H18</f>
        <v>0</v>
      </c>
      <c r="K19" s="19">
        <f>'1'!I18</f>
        <v>0</v>
      </c>
      <c r="L19" s="19">
        <f>'1'!J18</f>
        <v>0</v>
      </c>
    </row>
    <row r="20" spans="1:12" ht="14.5" customHeight="1">
      <c r="A20" s="42" t="s">
        <v>17</v>
      </c>
      <c r="B20" s="56"/>
      <c r="C20" s="15" t="s">
        <v>21</v>
      </c>
      <c r="D20" s="19">
        <f>'1'!B19</f>
        <v>8.8999999999999996E-2</v>
      </c>
      <c r="E20" s="19">
        <f>'1'!C19</f>
        <v>0</v>
      </c>
      <c r="F20" s="19">
        <f>'1'!D19</f>
        <v>0</v>
      </c>
      <c r="G20" s="19">
        <f>'1'!E19</f>
        <v>0</v>
      </c>
      <c r="H20" s="19">
        <f>'1'!F19</f>
        <v>0</v>
      </c>
      <c r="I20" s="19">
        <f>'1'!G19</f>
        <v>0</v>
      </c>
      <c r="J20" s="19">
        <f>'1'!H19</f>
        <v>0</v>
      </c>
      <c r="K20" s="19">
        <f>'1'!I19</f>
        <v>0</v>
      </c>
      <c r="L20" s="19">
        <f>'1'!J19</f>
        <v>0</v>
      </c>
    </row>
    <row r="21" spans="1:12" ht="14.5" customHeight="1">
      <c r="A21" s="42" t="s">
        <v>17</v>
      </c>
      <c r="B21" s="56"/>
      <c r="C21" s="15" t="s">
        <v>22</v>
      </c>
      <c r="D21" s="19">
        <f>'1'!B20</f>
        <v>0.1452</v>
      </c>
      <c r="E21" s="19">
        <f>'1'!C20</f>
        <v>0</v>
      </c>
      <c r="F21" s="19">
        <f>'1'!D20</f>
        <v>0</v>
      </c>
      <c r="G21" s="19">
        <f>'1'!E20</f>
        <v>0</v>
      </c>
      <c r="H21" s="19">
        <f>'1'!F20</f>
        <v>0</v>
      </c>
      <c r="I21" s="19">
        <f>'1'!G20</f>
        <v>0</v>
      </c>
      <c r="J21" s="19">
        <f>'1'!H20</f>
        <v>0</v>
      </c>
      <c r="K21" s="19">
        <f>'1'!I20</f>
        <v>0</v>
      </c>
      <c r="L21" s="19">
        <f>'1'!J20</f>
        <v>0</v>
      </c>
    </row>
    <row r="22" spans="1:12" ht="15" customHeight="1">
      <c r="A22" s="42" t="s">
        <v>17</v>
      </c>
      <c r="B22" s="56"/>
      <c r="C22" s="15" t="s">
        <v>23</v>
      </c>
      <c r="D22" s="19">
        <f>'1'!B21</f>
        <v>9.5100000000000004E-2</v>
      </c>
      <c r="E22" s="19">
        <f>'1'!C21</f>
        <v>0</v>
      </c>
      <c r="F22" s="19">
        <f>'1'!D21</f>
        <v>0</v>
      </c>
      <c r="G22" s="19">
        <f>'1'!E21</f>
        <v>0</v>
      </c>
      <c r="H22" s="19">
        <f>'1'!F21</f>
        <v>0</v>
      </c>
      <c r="I22" s="19">
        <f>'1'!G21</f>
        <v>0</v>
      </c>
      <c r="J22" s="19">
        <f>'1'!H21</f>
        <v>0</v>
      </c>
      <c r="K22" s="19">
        <f>'1'!I21</f>
        <v>0</v>
      </c>
      <c r="L22" s="19">
        <f>'1'!J21</f>
        <v>0</v>
      </c>
    </row>
    <row r="23" spans="1:12" ht="14.5" customHeight="1" thickBot="1">
      <c r="A23" s="42" t="s">
        <v>17</v>
      </c>
      <c r="B23" s="57"/>
      <c r="C23" s="15" t="s">
        <v>24</v>
      </c>
      <c r="D23" s="39">
        <f>'1'!B22</f>
        <v>3.5999999999999999E-3</v>
      </c>
      <c r="E23" s="39">
        <f>'1'!C22</f>
        <v>0</v>
      </c>
      <c r="F23" s="39">
        <f>'1'!D22</f>
        <v>0</v>
      </c>
      <c r="G23" s="39">
        <f>'1'!E22</f>
        <v>0</v>
      </c>
      <c r="H23" s="39">
        <f>'1'!F22</f>
        <v>0</v>
      </c>
      <c r="I23" s="39">
        <f>'1'!G22</f>
        <v>0</v>
      </c>
      <c r="J23" s="39">
        <f>'1'!H22</f>
        <v>0</v>
      </c>
      <c r="K23" s="39">
        <f>'1'!I22</f>
        <v>0</v>
      </c>
      <c r="L23" s="39">
        <f>'1'!J22</f>
        <v>0</v>
      </c>
    </row>
    <row r="24" spans="1:12" ht="14.5" customHeight="1" thickBot="1">
      <c r="A24" s="42" t="s">
        <v>25</v>
      </c>
      <c r="B24" s="67" t="s">
        <v>25</v>
      </c>
      <c r="C24" s="20">
        <v>1</v>
      </c>
      <c r="D24" s="21">
        <f>'1'!B23</f>
        <v>7.1000000000000004E-3</v>
      </c>
      <c r="E24" s="21">
        <f>'1'!C23</f>
        <v>0</v>
      </c>
      <c r="F24" s="21">
        <f>'1'!D23</f>
        <v>0</v>
      </c>
      <c r="G24" s="21">
        <f>'1'!E23</f>
        <v>0</v>
      </c>
      <c r="H24" s="21">
        <f>'1'!F23</f>
        <v>0</v>
      </c>
      <c r="I24" s="21">
        <f>'1'!G23</f>
        <v>0</v>
      </c>
      <c r="J24" s="21">
        <f>'1'!H23</f>
        <v>0</v>
      </c>
      <c r="K24" s="21">
        <f>'1'!I23</f>
        <v>0</v>
      </c>
      <c r="L24" s="21">
        <f>'1'!J23</f>
        <v>0</v>
      </c>
    </row>
    <row r="25" spans="1:12" ht="14.5" customHeight="1">
      <c r="A25" s="42" t="s">
        <v>25</v>
      </c>
      <c r="B25" s="56"/>
      <c r="C25" s="18">
        <v>2</v>
      </c>
      <c r="D25" s="19">
        <f>'1'!B24</f>
        <v>8.3600000000000008E-2</v>
      </c>
      <c r="E25" s="19">
        <f>'1'!C24</f>
        <v>0</v>
      </c>
      <c r="F25" s="19">
        <f>'1'!D24</f>
        <v>0</v>
      </c>
      <c r="G25" s="19">
        <f>'1'!E24</f>
        <v>0</v>
      </c>
      <c r="H25" s="19">
        <f>'1'!F24</f>
        <v>0</v>
      </c>
      <c r="I25" s="19">
        <f>'1'!G24</f>
        <v>0</v>
      </c>
      <c r="J25" s="19">
        <f>'1'!H24</f>
        <v>0</v>
      </c>
      <c r="K25" s="19">
        <f>'1'!I24</f>
        <v>0</v>
      </c>
      <c r="L25" s="19">
        <f>'1'!J24</f>
        <v>0</v>
      </c>
    </row>
    <row r="26" spans="1:12" ht="14.5" customHeight="1">
      <c r="A26" s="42" t="s">
        <v>25</v>
      </c>
      <c r="B26" s="56"/>
      <c r="C26" s="18">
        <v>3</v>
      </c>
      <c r="D26" s="19">
        <f>'1'!B25</f>
        <v>0.22889999999999999</v>
      </c>
      <c r="E26" s="19">
        <f>'1'!C25</f>
        <v>0</v>
      </c>
      <c r="F26" s="19">
        <f>'1'!D25</f>
        <v>0</v>
      </c>
      <c r="G26" s="19">
        <f>'1'!E25</f>
        <v>0</v>
      </c>
      <c r="H26" s="19">
        <f>'1'!F25</f>
        <v>0</v>
      </c>
      <c r="I26" s="19">
        <f>'1'!G25</f>
        <v>0</v>
      </c>
      <c r="J26" s="19">
        <f>'1'!H25</f>
        <v>0</v>
      </c>
      <c r="K26" s="19">
        <f>'1'!I25</f>
        <v>0</v>
      </c>
      <c r="L26" s="19">
        <f>'1'!J25</f>
        <v>0</v>
      </c>
    </row>
    <row r="27" spans="1:12" ht="14.5" customHeight="1">
      <c r="A27" s="42" t="s">
        <v>25</v>
      </c>
      <c r="B27" s="56"/>
      <c r="C27" s="18">
        <v>4</v>
      </c>
      <c r="D27" s="19">
        <f>'1'!B26</f>
        <v>0.35039999999999999</v>
      </c>
      <c r="E27" s="19">
        <f>'1'!C26</f>
        <v>0</v>
      </c>
      <c r="F27" s="19">
        <f>'1'!D26</f>
        <v>0</v>
      </c>
      <c r="G27" s="19">
        <f>'1'!E26</f>
        <v>0</v>
      </c>
      <c r="H27" s="19">
        <f>'1'!F26</f>
        <v>0</v>
      </c>
      <c r="I27" s="19">
        <f>'1'!G26</f>
        <v>0</v>
      </c>
      <c r="J27" s="19">
        <f>'1'!H26</f>
        <v>0</v>
      </c>
      <c r="K27" s="19">
        <f>'1'!I26</f>
        <v>0</v>
      </c>
      <c r="L27" s="19">
        <f>'1'!J26</f>
        <v>0</v>
      </c>
    </row>
    <row r="28" spans="1:12" ht="14.5" customHeight="1">
      <c r="A28" s="42" t="s">
        <v>25</v>
      </c>
      <c r="B28" s="56"/>
      <c r="C28" s="18">
        <v>5</v>
      </c>
      <c r="D28" s="19">
        <f>'1'!B27</f>
        <v>0.3296</v>
      </c>
      <c r="E28" s="19">
        <f>'1'!C27</f>
        <v>0</v>
      </c>
      <c r="F28" s="19">
        <f>'1'!D27</f>
        <v>0</v>
      </c>
      <c r="G28" s="19">
        <f>'1'!E27</f>
        <v>0</v>
      </c>
      <c r="H28" s="19">
        <f>'1'!F27</f>
        <v>0</v>
      </c>
      <c r="I28" s="19">
        <f>'1'!G27</f>
        <v>0</v>
      </c>
      <c r="J28" s="19">
        <f>'1'!H27</f>
        <v>0</v>
      </c>
      <c r="K28" s="19">
        <f>'1'!I27</f>
        <v>0</v>
      </c>
      <c r="L28" s="19">
        <f>'1'!J27</f>
        <v>0</v>
      </c>
    </row>
    <row r="29" spans="1:12" ht="14.5" customHeight="1" thickBot="1">
      <c r="A29" s="42" t="s">
        <v>25</v>
      </c>
      <c r="B29" s="57"/>
      <c r="C29" s="18" t="s">
        <v>26</v>
      </c>
      <c r="D29" s="39">
        <f>'1'!B28</f>
        <v>4.0000000000000002E-4</v>
      </c>
      <c r="E29" s="39">
        <f>'1'!C28</f>
        <v>0</v>
      </c>
      <c r="F29" s="39">
        <f>'1'!D28</f>
        <v>0</v>
      </c>
      <c r="G29" s="39">
        <f>'1'!E28</f>
        <v>0</v>
      </c>
      <c r="H29" s="39">
        <f>'1'!F28</f>
        <v>0</v>
      </c>
      <c r="I29" s="39">
        <f>'1'!G28</f>
        <v>0</v>
      </c>
      <c r="J29" s="39">
        <f>'1'!H28</f>
        <v>0</v>
      </c>
      <c r="K29" s="39">
        <f>'1'!I28</f>
        <v>0</v>
      </c>
      <c r="L29" s="39">
        <f>'1'!J28</f>
        <v>0</v>
      </c>
    </row>
    <row r="30" spans="1:12" ht="14.5" customHeight="1" thickBot="1">
      <c r="A30" s="42" t="s">
        <v>27</v>
      </c>
      <c r="B30" s="55" t="s">
        <v>27</v>
      </c>
      <c r="C30" s="13" t="s">
        <v>28</v>
      </c>
      <c r="D30" s="46">
        <f>'1'!B30+'1'!B31+'1'!B32+'1'!B33+'1'!B34+'1'!B35+'1'!B29</f>
        <v>0.27100000000000002</v>
      </c>
      <c r="E30" s="46">
        <f>'1'!C30+'1'!C31+'1'!C32+'1'!C33+'1'!C34+'1'!C35+'1'!C29</f>
        <v>0</v>
      </c>
      <c r="F30" s="46">
        <f>'1'!D30+'1'!D31+'1'!D32+'1'!D33+'1'!D34+'1'!D35+'1'!D29</f>
        <v>0</v>
      </c>
      <c r="G30" s="46">
        <f>'1'!E30+'1'!E31+'1'!E32+'1'!E33+'1'!E34+'1'!E35+'1'!E29</f>
        <v>0</v>
      </c>
      <c r="H30" s="46">
        <f>'1'!F30+'1'!F31+'1'!F32+'1'!F33+'1'!F34+'1'!F35+'1'!F29</f>
        <v>0</v>
      </c>
      <c r="I30" s="46">
        <f>'1'!G30+'1'!G31+'1'!G32+'1'!G33+'1'!G34+'1'!G35+'1'!G29</f>
        <v>0</v>
      </c>
      <c r="J30" s="46">
        <f>'1'!H30+'1'!H31+'1'!H32+'1'!H33+'1'!H34+'1'!H35+'1'!H29</f>
        <v>0</v>
      </c>
      <c r="K30" s="46">
        <f>'1'!I30+'1'!I31+'1'!I32+'1'!I33+'1'!I34+'1'!I35+'1'!I29</f>
        <v>0</v>
      </c>
      <c r="L30" s="46">
        <f>'1'!J30+'1'!J31+'1'!J32+'1'!J33+'1'!J34+'1'!J35+'1'!J29</f>
        <v>0</v>
      </c>
    </row>
    <row r="31" spans="1:12" ht="14.5" customHeight="1">
      <c r="A31" s="42" t="s">
        <v>27</v>
      </c>
      <c r="B31" s="56"/>
      <c r="C31" s="15" t="s">
        <v>29</v>
      </c>
      <c r="D31" s="19">
        <f>'1'!B36</f>
        <v>0.1017</v>
      </c>
      <c r="E31" s="19">
        <f>'1'!C36</f>
        <v>0</v>
      </c>
      <c r="F31" s="19">
        <f>'1'!D36</f>
        <v>0</v>
      </c>
      <c r="G31" s="19">
        <f>'1'!E36</f>
        <v>0</v>
      </c>
      <c r="H31" s="19">
        <f>'1'!F36</f>
        <v>0</v>
      </c>
      <c r="I31" s="19">
        <f>'1'!G36</f>
        <v>0</v>
      </c>
      <c r="J31" s="19">
        <f>'1'!H36</f>
        <v>0</v>
      </c>
      <c r="K31" s="19">
        <f>'1'!I36</f>
        <v>0</v>
      </c>
      <c r="L31" s="19">
        <f>'1'!J36</f>
        <v>0</v>
      </c>
    </row>
    <row r="32" spans="1:12" ht="14.5" customHeight="1">
      <c r="A32" s="42" t="s">
        <v>27</v>
      </c>
      <c r="B32" s="56"/>
      <c r="C32" s="15" t="s">
        <v>30</v>
      </c>
      <c r="D32" s="19">
        <f>'1'!B37</f>
        <v>8.7800000000000003E-2</v>
      </c>
      <c r="E32" s="19">
        <f>'1'!C37</f>
        <v>0</v>
      </c>
      <c r="F32" s="19">
        <f>'1'!D37</f>
        <v>0</v>
      </c>
      <c r="G32" s="19">
        <f>'1'!E37</f>
        <v>0</v>
      </c>
      <c r="H32" s="19">
        <f>'1'!F37</f>
        <v>0</v>
      </c>
      <c r="I32" s="19">
        <f>'1'!G37</f>
        <v>0</v>
      </c>
      <c r="J32" s="19">
        <f>'1'!H37</f>
        <v>0</v>
      </c>
      <c r="K32" s="19">
        <f>'1'!I37</f>
        <v>0</v>
      </c>
      <c r="L32" s="19">
        <f>'1'!J37</f>
        <v>0</v>
      </c>
    </row>
    <row r="33" spans="1:12" ht="15" customHeight="1">
      <c r="A33" s="42" t="s">
        <v>27</v>
      </c>
      <c r="B33" s="56"/>
      <c r="C33" s="15" t="s">
        <v>31</v>
      </c>
      <c r="D33" s="19">
        <f>'1'!B38</f>
        <v>0.30409999999999998</v>
      </c>
      <c r="E33" s="19">
        <f>'1'!C38</f>
        <v>0</v>
      </c>
      <c r="F33" s="19">
        <f>'1'!D38</f>
        <v>0</v>
      </c>
      <c r="G33" s="19">
        <f>'1'!E38</f>
        <v>0</v>
      </c>
      <c r="H33" s="19">
        <f>'1'!F38</f>
        <v>0</v>
      </c>
      <c r="I33" s="19">
        <f>'1'!G38</f>
        <v>0</v>
      </c>
      <c r="J33" s="19">
        <f>'1'!H38</f>
        <v>0</v>
      </c>
      <c r="K33" s="19">
        <f>'1'!I38</f>
        <v>0</v>
      </c>
      <c r="L33" s="19">
        <f>'1'!J38</f>
        <v>0</v>
      </c>
    </row>
    <row r="34" spans="1:12" ht="14.5" customHeight="1" thickBot="1">
      <c r="A34" s="42" t="s">
        <v>27</v>
      </c>
      <c r="B34" s="57"/>
      <c r="C34" s="15" t="s">
        <v>32</v>
      </c>
      <c r="D34" s="19">
        <f>'1'!B39</f>
        <v>0.2354</v>
      </c>
      <c r="E34" s="19">
        <f>'1'!C39</f>
        <v>0</v>
      </c>
      <c r="F34" s="19">
        <f>'1'!D39</f>
        <v>0</v>
      </c>
      <c r="G34" s="19">
        <f>'1'!E39</f>
        <v>0</v>
      </c>
      <c r="H34" s="19">
        <f>'1'!F39</f>
        <v>0</v>
      </c>
      <c r="I34" s="19">
        <f>'1'!G39</f>
        <v>0</v>
      </c>
      <c r="J34" s="19">
        <f>'1'!H39</f>
        <v>0</v>
      </c>
      <c r="K34" s="19">
        <f>'1'!I39</f>
        <v>0</v>
      </c>
      <c r="L34" s="19">
        <f>'1'!J39</f>
        <v>0</v>
      </c>
    </row>
    <row r="35" spans="1:12" ht="14.5" customHeight="1" thickBot="1">
      <c r="A35" s="42" t="s">
        <v>33</v>
      </c>
      <c r="B35" s="55" t="s">
        <v>33</v>
      </c>
      <c r="C35" s="20" t="s">
        <v>34</v>
      </c>
      <c r="D35" s="21">
        <f>'1'!B40+'1'!B41+'1'!B42+'1'!B43+'1'!B44</f>
        <v>0.19419999999999998</v>
      </c>
      <c r="E35" s="21">
        <f>'1'!C40+'1'!C41+'1'!C42+'1'!C43+'1'!C44</f>
        <v>0</v>
      </c>
      <c r="F35" s="21">
        <f>'1'!D40+'1'!D41+'1'!D42+'1'!D43+'1'!D44</f>
        <v>0</v>
      </c>
      <c r="G35" s="21">
        <f>'1'!E40+'1'!E41+'1'!E42+'1'!E43+'1'!E44</f>
        <v>0</v>
      </c>
      <c r="H35" s="21">
        <f>'1'!F40+'1'!F41+'1'!F42+'1'!F43+'1'!F44</f>
        <v>0</v>
      </c>
      <c r="I35" s="21">
        <f>'1'!G40+'1'!G41+'1'!G42+'1'!G43+'1'!G44</f>
        <v>0</v>
      </c>
      <c r="J35" s="21">
        <f>'1'!H40+'1'!H41+'1'!H42+'1'!H43+'1'!H44</f>
        <v>0</v>
      </c>
      <c r="K35" s="21">
        <f>'1'!I40+'1'!I41+'1'!I42+'1'!I43+'1'!I44</f>
        <v>0</v>
      </c>
      <c r="L35" s="21">
        <f>'1'!J40+'1'!J41+'1'!J42+'1'!J43+'1'!J44</f>
        <v>0</v>
      </c>
    </row>
    <row r="36" spans="1:12" ht="14.5" customHeight="1">
      <c r="A36" s="42" t="s">
        <v>33</v>
      </c>
      <c r="B36" s="56"/>
      <c r="C36" s="18" t="s">
        <v>35</v>
      </c>
      <c r="D36" s="19">
        <f>'1'!B45+'1'!B46</f>
        <v>0.2087</v>
      </c>
      <c r="E36" s="19">
        <f>'1'!C45+'1'!C46</f>
        <v>0</v>
      </c>
      <c r="F36" s="19">
        <f>'1'!D45+'1'!D46</f>
        <v>0</v>
      </c>
      <c r="G36" s="19">
        <f>'1'!E45+'1'!E46</f>
        <v>0</v>
      </c>
      <c r="H36" s="19">
        <f>'1'!F45+'1'!F46</f>
        <v>0</v>
      </c>
      <c r="I36" s="19">
        <f>'1'!G45+'1'!G46</f>
        <v>0</v>
      </c>
      <c r="J36" s="19">
        <f>'1'!H45+'1'!H46</f>
        <v>0</v>
      </c>
      <c r="K36" s="19">
        <f>'1'!I45+'1'!I46</f>
        <v>0</v>
      </c>
      <c r="L36" s="19">
        <f>'1'!J45+'1'!J46</f>
        <v>0</v>
      </c>
    </row>
    <row r="37" spans="1:12" ht="15" customHeight="1">
      <c r="A37" s="42" t="s">
        <v>33</v>
      </c>
      <c r="B37" s="56"/>
      <c r="C37" s="18" t="s">
        <v>36</v>
      </c>
      <c r="D37" s="19">
        <f>'1'!B47</f>
        <v>7.5900000000000009E-2</v>
      </c>
      <c r="E37" s="19">
        <f>'1'!C47</f>
        <v>0</v>
      </c>
      <c r="F37" s="19">
        <f>'1'!D47</f>
        <v>0</v>
      </c>
      <c r="G37" s="19">
        <f>'1'!E47</f>
        <v>0</v>
      </c>
      <c r="H37" s="19">
        <f>'1'!F47</f>
        <v>0</v>
      </c>
      <c r="I37" s="19">
        <f>'1'!G47</f>
        <v>0</v>
      </c>
      <c r="J37" s="19">
        <f>'1'!H47</f>
        <v>0</v>
      </c>
      <c r="K37" s="19">
        <f>'1'!I47</f>
        <v>0</v>
      </c>
      <c r="L37" s="19">
        <f>'1'!J47</f>
        <v>0</v>
      </c>
    </row>
    <row r="38" spans="1:12" ht="14.5" customHeight="1" thickBot="1">
      <c r="A38" s="42" t="s">
        <v>33</v>
      </c>
      <c r="B38" s="57"/>
      <c r="C38" s="18" t="s">
        <v>37</v>
      </c>
      <c r="D38" s="19">
        <f>'1'!B48</f>
        <v>0.5212</v>
      </c>
      <c r="E38" s="19">
        <f>'1'!C48</f>
        <v>0</v>
      </c>
      <c r="F38" s="19">
        <f>'1'!D48</f>
        <v>0</v>
      </c>
      <c r="G38" s="19">
        <f>'1'!E48</f>
        <v>0</v>
      </c>
      <c r="H38" s="19">
        <f>'1'!F48</f>
        <v>0</v>
      </c>
      <c r="I38" s="19">
        <f>'1'!G48</f>
        <v>0</v>
      </c>
      <c r="J38" s="19">
        <f>'1'!H48</f>
        <v>0</v>
      </c>
      <c r="K38" s="19">
        <f>'1'!I48</f>
        <v>0</v>
      </c>
      <c r="L38" s="19">
        <f>'1'!J48</f>
        <v>0</v>
      </c>
    </row>
    <row r="39" spans="1:12" ht="14.5" customHeight="1" thickBot="1">
      <c r="A39" s="42" t="s">
        <v>38</v>
      </c>
      <c r="B39" s="55" t="s">
        <v>38</v>
      </c>
      <c r="C39" s="13" t="s">
        <v>39</v>
      </c>
      <c r="D39" s="21">
        <f>'1'!B69</f>
        <v>1.4E-3</v>
      </c>
      <c r="E39" s="21">
        <f>'1'!C69</f>
        <v>0</v>
      </c>
      <c r="F39" s="21">
        <f>'1'!D69</f>
        <v>0</v>
      </c>
      <c r="G39" s="21">
        <f>'1'!E69</f>
        <v>0</v>
      </c>
      <c r="H39" s="21">
        <f>'1'!F69</f>
        <v>0</v>
      </c>
      <c r="I39" s="21">
        <f>'1'!G69</f>
        <v>0</v>
      </c>
      <c r="J39" s="21">
        <f>'1'!H69</f>
        <v>0</v>
      </c>
      <c r="K39" s="21">
        <f>'1'!I69</f>
        <v>0</v>
      </c>
      <c r="L39" s="21">
        <f>'1'!J69</f>
        <v>0</v>
      </c>
    </row>
    <row r="40" spans="1:12" ht="14.5" customHeight="1">
      <c r="A40" s="42" t="s">
        <v>38</v>
      </c>
      <c r="B40" s="56"/>
      <c r="C40" s="15" t="s">
        <v>40</v>
      </c>
      <c r="D40" s="19">
        <f>'1'!B70+'1'!B71</f>
        <v>1.6000000000000001E-3</v>
      </c>
      <c r="E40" s="19">
        <f>'1'!C70+'1'!C71</f>
        <v>0</v>
      </c>
      <c r="F40" s="19">
        <f>'1'!D70+'1'!D71</f>
        <v>0</v>
      </c>
      <c r="G40" s="19">
        <f>'1'!E70+'1'!E71</f>
        <v>0</v>
      </c>
      <c r="H40" s="19">
        <f>'1'!F70+'1'!F71</f>
        <v>0</v>
      </c>
      <c r="I40" s="19">
        <f>'1'!G70+'1'!G71</f>
        <v>0</v>
      </c>
      <c r="J40" s="19">
        <f>'1'!H70+'1'!H71</f>
        <v>0</v>
      </c>
      <c r="K40" s="19">
        <f>'1'!I70+'1'!I71</f>
        <v>0</v>
      </c>
      <c r="L40" s="19">
        <f>'1'!J70+'1'!J71</f>
        <v>0</v>
      </c>
    </row>
    <row r="41" spans="1:12" ht="14.5" customHeight="1">
      <c r="A41" s="42" t="s">
        <v>38</v>
      </c>
      <c r="B41" s="56"/>
      <c r="C41" s="15" t="s">
        <v>41</v>
      </c>
      <c r="D41" s="19">
        <f>'1'!B72+'1'!B73</f>
        <v>2.92E-2</v>
      </c>
      <c r="E41" s="19">
        <f>'1'!C72+'1'!C73</f>
        <v>0</v>
      </c>
      <c r="F41" s="19">
        <f>'1'!D72+'1'!D73</f>
        <v>0</v>
      </c>
      <c r="G41" s="19">
        <f>'1'!E72+'1'!E73</f>
        <v>0</v>
      </c>
      <c r="H41" s="19">
        <f>'1'!F72+'1'!F73</f>
        <v>0</v>
      </c>
      <c r="I41" s="19">
        <f>'1'!G72+'1'!G73</f>
        <v>0</v>
      </c>
      <c r="J41" s="19">
        <f>'1'!H72+'1'!H73</f>
        <v>0</v>
      </c>
      <c r="K41" s="19">
        <f>'1'!I72+'1'!I73</f>
        <v>0</v>
      </c>
      <c r="L41" s="19">
        <f>'1'!J72+'1'!J73</f>
        <v>0</v>
      </c>
    </row>
    <row r="42" spans="1:12" ht="14.5" customHeight="1">
      <c r="A42" s="42" t="s">
        <v>38</v>
      </c>
      <c r="B42" s="56"/>
      <c r="C42" s="15" t="s">
        <v>42</v>
      </c>
      <c r="D42" s="19">
        <f>'1'!B74+'1'!B75</f>
        <v>0.1774</v>
      </c>
      <c r="E42" s="19">
        <f>'1'!C74+'1'!C75</f>
        <v>0</v>
      </c>
      <c r="F42" s="19">
        <f>'1'!D74+'1'!D75</f>
        <v>0</v>
      </c>
      <c r="G42" s="19">
        <f>'1'!E74+'1'!E75</f>
        <v>0</v>
      </c>
      <c r="H42" s="19">
        <f>'1'!F74+'1'!F75</f>
        <v>0</v>
      </c>
      <c r="I42" s="19">
        <f>'1'!G74+'1'!G75</f>
        <v>0</v>
      </c>
      <c r="J42" s="19">
        <f>'1'!H74+'1'!H75</f>
        <v>0</v>
      </c>
      <c r="K42" s="19">
        <f>'1'!I74+'1'!I75</f>
        <v>0</v>
      </c>
      <c r="L42" s="19">
        <f>'1'!J74+'1'!J75</f>
        <v>0</v>
      </c>
    </row>
    <row r="43" spans="1:12" ht="14.5" customHeight="1">
      <c r="A43" s="42" t="s">
        <v>38</v>
      </c>
      <c r="B43" s="56"/>
      <c r="C43" s="15" t="s">
        <v>43</v>
      </c>
      <c r="D43" s="19">
        <f>'1'!B76+'1'!B77</f>
        <v>0.32399999999999995</v>
      </c>
      <c r="E43" s="19">
        <f>'1'!C76+'1'!C77</f>
        <v>0</v>
      </c>
      <c r="F43" s="19">
        <f>'1'!D76+'1'!D77</f>
        <v>0</v>
      </c>
      <c r="G43" s="19">
        <f>'1'!E76+'1'!E77</f>
        <v>0</v>
      </c>
      <c r="H43" s="19">
        <f>'1'!F76+'1'!F77</f>
        <v>0</v>
      </c>
      <c r="I43" s="19">
        <f>'1'!G76+'1'!G77</f>
        <v>0</v>
      </c>
      <c r="J43" s="19">
        <f>'1'!H76+'1'!H77</f>
        <v>0</v>
      </c>
      <c r="K43" s="19">
        <f>'1'!I76+'1'!I77</f>
        <v>0</v>
      </c>
      <c r="L43" s="19">
        <f>'1'!J76+'1'!J77</f>
        <v>0</v>
      </c>
    </row>
    <row r="44" spans="1:12" ht="14.5" customHeight="1" thickBot="1">
      <c r="A44" s="42" t="s">
        <v>38</v>
      </c>
      <c r="B44" s="57"/>
      <c r="C44" s="15" t="s">
        <v>44</v>
      </c>
      <c r="D44" s="19">
        <f>'1'!B78+'1'!B79</f>
        <v>0.46639999999999998</v>
      </c>
      <c r="E44" s="19">
        <f>'1'!C78+'1'!C79</f>
        <v>0</v>
      </c>
      <c r="F44" s="19">
        <f>'1'!D78+'1'!D79</f>
        <v>0</v>
      </c>
      <c r="G44" s="19">
        <f>'1'!E78+'1'!E79</f>
        <v>0</v>
      </c>
      <c r="H44" s="19">
        <f>'1'!F78+'1'!F79</f>
        <v>0</v>
      </c>
      <c r="I44" s="19">
        <f>'1'!G78+'1'!G79</f>
        <v>0</v>
      </c>
      <c r="J44" s="19">
        <f>'1'!H78+'1'!H79</f>
        <v>0</v>
      </c>
      <c r="K44" s="19">
        <f>'1'!I78+'1'!I79</f>
        <v>0</v>
      </c>
      <c r="L44" s="19">
        <f>'1'!J78+'1'!J79</f>
        <v>0</v>
      </c>
    </row>
    <row r="45" spans="1:12" ht="14.5" customHeight="1" thickBot="1">
      <c r="A45" s="42" t="s">
        <v>45</v>
      </c>
      <c r="B45" s="55" t="s">
        <v>45</v>
      </c>
      <c r="C45" s="20" t="s">
        <v>34</v>
      </c>
      <c r="D45" s="21">
        <f>'1'!B80+'1'!B81+'1'!B82+'1'!B83+'1'!B84</f>
        <v>0.15589999999999998</v>
      </c>
      <c r="E45" s="21">
        <f>'1'!C80+'1'!C81+'1'!C82+'1'!C83+'1'!C84</f>
        <v>0</v>
      </c>
      <c r="F45" s="21">
        <f>'1'!D80+'1'!D81+'1'!D82+'1'!D83+'1'!D84</f>
        <v>0</v>
      </c>
      <c r="G45" s="21">
        <f>'1'!E80+'1'!E81+'1'!E82+'1'!E83+'1'!E84</f>
        <v>0</v>
      </c>
      <c r="H45" s="21">
        <f>'1'!F80+'1'!F81+'1'!F82+'1'!F83+'1'!F84</f>
        <v>0</v>
      </c>
      <c r="I45" s="21">
        <f>'1'!G80+'1'!G81+'1'!G82+'1'!G83+'1'!G84</f>
        <v>0</v>
      </c>
      <c r="J45" s="21">
        <f>'1'!H80+'1'!H81+'1'!H82+'1'!H83+'1'!H84</f>
        <v>0</v>
      </c>
      <c r="K45" s="21">
        <f>'1'!I80+'1'!I81+'1'!I82+'1'!I83+'1'!I84</f>
        <v>0</v>
      </c>
      <c r="L45" s="21">
        <f>'1'!J80+'1'!J81+'1'!J82+'1'!J83+'1'!J84</f>
        <v>0</v>
      </c>
    </row>
    <row r="46" spans="1:12" ht="14.5" customHeight="1">
      <c r="A46" s="42" t="s">
        <v>45</v>
      </c>
      <c r="B46" s="56"/>
      <c r="C46" s="18" t="s">
        <v>35</v>
      </c>
      <c r="D46" s="19">
        <f>'1'!B85+'1'!B86</f>
        <v>0.20710000000000001</v>
      </c>
      <c r="E46" s="19">
        <f>'1'!C85+'1'!C86</f>
        <v>0</v>
      </c>
      <c r="F46" s="19">
        <f>'1'!D85+'1'!D86</f>
        <v>0</v>
      </c>
      <c r="G46" s="19">
        <f>'1'!E85+'1'!E86</f>
        <v>0</v>
      </c>
      <c r="H46" s="19">
        <f>'1'!F85+'1'!F86</f>
        <v>0</v>
      </c>
      <c r="I46" s="19">
        <f>'1'!G85+'1'!G86</f>
        <v>0</v>
      </c>
      <c r="J46" s="19">
        <f>'1'!H85+'1'!H86</f>
        <v>0</v>
      </c>
      <c r="K46" s="19">
        <f>'1'!I85+'1'!I86</f>
        <v>0</v>
      </c>
      <c r="L46" s="19">
        <f>'1'!J85+'1'!J86</f>
        <v>0</v>
      </c>
    </row>
    <row r="47" spans="1:12" ht="15" customHeight="1">
      <c r="A47" s="42" t="s">
        <v>45</v>
      </c>
      <c r="B47" s="56"/>
      <c r="C47" s="18" t="s">
        <v>36</v>
      </c>
      <c r="D47" s="19">
        <f>'1'!B87</f>
        <v>7.3999999999999996E-2</v>
      </c>
      <c r="E47" s="19">
        <f>'1'!C87</f>
        <v>0</v>
      </c>
      <c r="F47" s="19">
        <f>'1'!D87</f>
        <v>0</v>
      </c>
      <c r="G47" s="19">
        <f>'1'!E87</f>
        <v>0</v>
      </c>
      <c r="H47" s="19">
        <f>'1'!F87</f>
        <v>0</v>
      </c>
      <c r="I47" s="19">
        <f>'1'!G87</f>
        <v>0</v>
      </c>
      <c r="J47" s="19">
        <f>'1'!H87</f>
        <v>0</v>
      </c>
      <c r="K47" s="19">
        <f>'1'!I87</f>
        <v>0</v>
      </c>
      <c r="L47" s="19">
        <f>'1'!J87</f>
        <v>0</v>
      </c>
    </row>
    <row r="48" spans="1:12" ht="14.5" customHeight="1" thickBot="1">
      <c r="A48" s="42" t="s">
        <v>45</v>
      </c>
      <c r="B48" s="57"/>
      <c r="C48" s="18" t="s">
        <v>37</v>
      </c>
      <c r="D48" s="39">
        <f>'1'!B88</f>
        <v>0.56310000000000004</v>
      </c>
      <c r="E48" s="39">
        <f>'1'!C88</f>
        <v>0</v>
      </c>
      <c r="F48" s="39">
        <f>'1'!D88</f>
        <v>0</v>
      </c>
      <c r="G48" s="39">
        <f>'1'!E88</f>
        <v>0</v>
      </c>
      <c r="H48" s="39">
        <f>'1'!F88</f>
        <v>0</v>
      </c>
      <c r="I48" s="39">
        <f>'1'!G88</f>
        <v>0</v>
      </c>
      <c r="J48" s="39">
        <f>'1'!H88</f>
        <v>0</v>
      </c>
      <c r="K48" s="39">
        <f>'1'!I88</f>
        <v>0</v>
      </c>
      <c r="L48" s="39">
        <f>'1'!J88</f>
        <v>0</v>
      </c>
    </row>
    <row r="49" spans="1:12" ht="14.5" customHeight="1">
      <c r="A49" s="42" t="s">
        <v>46</v>
      </c>
      <c r="B49" s="60" t="s">
        <v>46</v>
      </c>
      <c r="C49" s="20" t="s">
        <v>47</v>
      </c>
      <c r="D49" s="21">
        <f>'1'!B49</f>
        <v>4.4600000000000001E-2</v>
      </c>
      <c r="E49" s="21">
        <f>'1'!C49</f>
        <v>0</v>
      </c>
      <c r="F49" s="21">
        <f>'1'!D49</f>
        <v>0</v>
      </c>
      <c r="G49" s="21">
        <f>'1'!E49</f>
        <v>0</v>
      </c>
      <c r="H49" s="21">
        <f>'1'!F49</f>
        <v>0</v>
      </c>
      <c r="I49" s="21">
        <f>'1'!G49</f>
        <v>0</v>
      </c>
      <c r="J49" s="21">
        <f>'1'!H49</f>
        <v>0</v>
      </c>
      <c r="K49" s="21">
        <f>'1'!I49</f>
        <v>0</v>
      </c>
      <c r="L49" s="21">
        <f>'1'!J49</f>
        <v>0</v>
      </c>
    </row>
    <row r="50" spans="1:12" ht="14.5" customHeight="1">
      <c r="A50" s="42" t="s">
        <v>46</v>
      </c>
      <c r="B50" s="56"/>
      <c r="C50" s="18" t="s">
        <v>48</v>
      </c>
      <c r="D50" s="19">
        <f>'1'!B50</f>
        <v>0.1464</v>
      </c>
      <c r="E50" s="19">
        <f>'1'!C50</f>
        <v>0</v>
      </c>
      <c r="F50" s="19">
        <f>'1'!D50</f>
        <v>0</v>
      </c>
      <c r="G50" s="19">
        <f>'1'!E50</f>
        <v>0</v>
      </c>
      <c r="H50" s="19">
        <f>'1'!F50</f>
        <v>0</v>
      </c>
      <c r="I50" s="19">
        <f>'1'!G50</f>
        <v>0</v>
      </c>
      <c r="J50" s="19">
        <f>'1'!H50</f>
        <v>0</v>
      </c>
      <c r="K50" s="19">
        <f>'1'!I50</f>
        <v>0</v>
      </c>
      <c r="L50" s="19">
        <f>'1'!J50</f>
        <v>0</v>
      </c>
    </row>
    <row r="51" spans="1:12" ht="14.5" customHeight="1">
      <c r="A51" s="42" t="s">
        <v>46</v>
      </c>
      <c r="B51" s="56"/>
      <c r="C51" s="18" t="s">
        <v>49</v>
      </c>
      <c r="D51" s="19">
        <f>'1'!B51</f>
        <v>8.2200000000000009E-2</v>
      </c>
      <c r="E51" s="19">
        <f>'1'!C51</f>
        <v>0</v>
      </c>
      <c r="F51" s="19">
        <f>'1'!D51</f>
        <v>0</v>
      </c>
      <c r="G51" s="19">
        <f>'1'!E51</f>
        <v>0</v>
      </c>
      <c r="H51" s="19">
        <f>'1'!F51</f>
        <v>0</v>
      </c>
      <c r="I51" s="19">
        <f>'1'!G51</f>
        <v>0</v>
      </c>
      <c r="J51" s="19">
        <f>'1'!H51</f>
        <v>0</v>
      </c>
      <c r="K51" s="19">
        <f>'1'!I51</f>
        <v>0</v>
      </c>
      <c r="L51" s="19">
        <f>'1'!J51</f>
        <v>0</v>
      </c>
    </row>
    <row r="52" spans="1:12" ht="14.5" customHeight="1">
      <c r="A52" s="42" t="s">
        <v>46</v>
      </c>
      <c r="B52" s="56"/>
      <c r="C52" s="18" t="s">
        <v>50</v>
      </c>
      <c r="D52" s="19">
        <f>'1'!B52</f>
        <v>0.1545</v>
      </c>
      <c r="E52" s="19">
        <f>'1'!C52</f>
        <v>0</v>
      </c>
      <c r="F52" s="19">
        <f>'1'!D52</f>
        <v>0</v>
      </c>
      <c r="G52" s="19">
        <f>'1'!E52</f>
        <v>0</v>
      </c>
      <c r="H52" s="19">
        <f>'1'!F52</f>
        <v>0</v>
      </c>
      <c r="I52" s="19">
        <f>'1'!G52</f>
        <v>0</v>
      </c>
      <c r="J52" s="19">
        <f>'1'!H52</f>
        <v>0</v>
      </c>
      <c r="K52" s="19">
        <f>'1'!I52</f>
        <v>0</v>
      </c>
      <c r="L52" s="19">
        <f>'1'!J52</f>
        <v>0</v>
      </c>
    </row>
    <row r="53" spans="1:12" ht="14.5" customHeight="1">
      <c r="A53" s="42" t="s">
        <v>46</v>
      </c>
      <c r="B53" s="56"/>
      <c r="C53" s="18" t="s">
        <v>51</v>
      </c>
      <c r="D53" s="19">
        <f>'1'!B53</f>
        <v>0.31119999999999998</v>
      </c>
      <c r="E53" s="19">
        <f>'1'!C53</f>
        <v>0</v>
      </c>
      <c r="F53" s="19">
        <f>'1'!D53</f>
        <v>0</v>
      </c>
      <c r="G53" s="19">
        <f>'1'!E53</f>
        <v>0</v>
      </c>
      <c r="H53" s="19">
        <f>'1'!F53</f>
        <v>0</v>
      </c>
      <c r="I53" s="19">
        <f>'1'!G53</f>
        <v>0</v>
      </c>
      <c r="J53" s="19">
        <f>'1'!H53</f>
        <v>0</v>
      </c>
      <c r="K53" s="19">
        <f>'1'!I53</f>
        <v>0</v>
      </c>
      <c r="L53" s="19">
        <f>'1'!J53</f>
        <v>0</v>
      </c>
    </row>
    <row r="54" spans="1:12" ht="14.5" customHeight="1">
      <c r="A54" s="42" t="s">
        <v>46</v>
      </c>
      <c r="B54" s="56"/>
      <c r="C54" s="18" t="s">
        <v>52</v>
      </c>
      <c r="D54" s="19">
        <f>'1'!B54</f>
        <v>1.4999999999999999E-2</v>
      </c>
      <c r="E54" s="19">
        <f>'1'!C54</f>
        <v>0</v>
      </c>
      <c r="F54" s="19">
        <f>'1'!D54</f>
        <v>0</v>
      </c>
      <c r="G54" s="19">
        <f>'1'!E54</f>
        <v>0</v>
      </c>
      <c r="H54" s="19">
        <f>'1'!F54</f>
        <v>0</v>
      </c>
      <c r="I54" s="19">
        <f>'1'!G54</f>
        <v>0</v>
      </c>
      <c r="J54" s="19">
        <f>'1'!H54</f>
        <v>0</v>
      </c>
      <c r="K54" s="19">
        <f>'1'!I54</f>
        <v>0</v>
      </c>
      <c r="L54" s="19">
        <f>'1'!J54</f>
        <v>0</v>
      </c>
    </row>
    <row r="55" spans="1:12" ht="14.5" customHeight="1">
      <c r="A55" s="42" t="s">
        <v>46</v>
      </c>
      <c r="B55" s="56"/>
      <c r="C55" s="18" t="s">
        <v>53</v>
      </c>
      <c r="D55" s="19">
        <f>'1'!B55</f>
        <v>0.27129999999999999</v>
      </c>
      <c r="E55" s="19">
        <f>'1'!C55</f>
        <v>0</v>
      </c>
      <c r="F55" s="19">
        <f>'1'!D55</f>
        <v>0</v>
      </c>
      <c r="G55" s="19">
        <f>'1'!E55</f>
        <v>0</v>
      </c>
      <c r="H55" s="19">
        <f>'1'!F55</f>
        <v>0</v>
      </c>
      <c r="I55" s="19">
        <f>'1'!G55</f>
        <v>0</v>
      </c>
      <c r="J55" s="19">
        <f>'1'!H55</f>
        <v>0</v>
      </c>
      <c r="K55" s="19">
        <f>'1'!I55</f>
        <v>0</v>
      </c>
      <c r="L55" s="19">
        <f>'1'!J55</f>
        <v>0</v>
      </c>
    </row>
    <row r="56" spans="1:12" ht="14.5" customHeight="1">
      <c r="A56" s="42" t="s">
        <v>46</v>
      </c>
      <c r="B56" s="56"/>
      <c r="C56" s="18" t="s">
        <v>54</v>
      </c>
      <c r="D56" s="19">
        <f>'1'!B56</f>
        <v>8.5400000000000004E-2</v>
      </c>
      <c r="E56" s="19">
        <f>'1'!C56</f>
        <v>0</v>
      </c>
      <c r="F56" s="19">
        <f>'1'!D56</f>
        <v>0</v>
      </c>
      <c r="G56" s="19">
        <f>'1'!E56</f>
        <v>0</v>
      </c>
      <c r="H56" s="19">
        <f>'1'!F56</f>
        <v>0</v>
      </c>
      <c r="I56" s="19">
        <f>'1'!G56</f>
        <v>0</v>
      </c>
      <c r="J56" s="19">
        <f>'1'!H56</f>
        <v>0</v>
      </c>
      <c r="K56" s="19">
        <f>'1'!I56</f>
        <v>0</v>
      </c>
      <c r="L56" s="19">
        <f>'1'!J56</f>
        <v>0</v>
      </c>
    </row>
    <row r="57" spans="1:12" ht="15" customHeight="1" thickBot="1">
      <c r="A57" s="42" t="s">
        <v>46</v>
      </c>
      <c r="B57" s="56"/>
      <c r="C57" s="18" t="s">
        <v>55</v>
      </c>
      <c r="D57" s="39">
        <f>'1'!B57</f>
        <v>1.0999999999999999E-2</v>
      </c>
      <c r="E57" s="39">
        <f>'1'!C57</f>
        <v>0</v>
      </c>
      <c r="F57" s="39">
        <f>'1'!D57</f>
        <v>0</v>
      </c>
      <c r="G57" s="39">
        <f>'1'!E57</f>
        <v>0</v>
      </c>
      <c r="H57" s="39">
        <f>'1'!F57</f>
        <v>0</v>
      </c>
      <c r="I57" s="39">
        <f>'1'!G57</f>
        <v>0</v>
      </c>
      <c r="J57" s="39">
        <f>'1'!H57</f>
        <v>0</v>
      </c>
      <c r="K57" s="39">
        <f>'1'!I57</f>
        <v>0</v>
      </c>
      <c r="L57" s="39">
        <f>'1'!J57</f>
        <v>0</v>
      </c>
    </row>
    <row r="58" spans="1:12" ht="14.5" hidden="1" customHeight="1" thickBot="1">
      <c r="A58" s="42" t="s">
        <v>56</v>
      </c>
      <c r="B58" s="67" t="s">
        <v>56</v>
      </c>
      <c r="C58" s="22" t="s">
        <v>57</v>
      </c>
      <c r="D58" s="21">
        <f>'1'!B59</f>
        <v>0</v>
      </c>
      <c r="E58" s="21">
        <f>'1'!C59</f>
        <v>0</v>
      </c>
      <c r="F58" s="21">
        <f>'1'!D59</f>
        <v>0</v>
      </c>
      <c r="G58" s="21">
        <f>'1'!E59</f>
        <v>0</v>
      </c>
      <c r="H58" s="21">
        <f>'1'!F59</f>
        <v>0</v>
      </c>
      <c r="I58" s="21">
        <f>'1'!G59</f>
        <v>0</v>
      </c>
      <c r="J58" s="21">
        <f>'1'!H59</f>
        <v>0</v>
      </c>
      <c r="K58" s="21">
        <f>'1'!I59</f>
        <v>0</v>
      </c>
      <c r="L58" s="21">
        <f>'1'!J59</f>
        <v>0</v>
      </c>
    </row>
    <row r="59" spans="1:12" ht="14.5" hidden="1" customHeight="1">
      <c r="A59" s="42" t="s">
        <v>56</v>
      </c>
      <c r="B59" s="56"/>
      <c r="C59" s="29" t="s">
        <v>58</v>
      </c>
      <c r="D59" s="19">
        <f>'1'!B60</f>
        <v>0</v>
      </c>
      <c r="E59" s="19">
        <f>'1'!C60</f>
        <v>0</v>
      </c>
      <c r="F59" s="19">
        <f>'1'!D60</f>
        <v>0</v>
      </c>
      <c r="G59" s="19">
        <f>'1'!E60</f>
        <v>0</v>
      </c>
      <c r="H59" s="19">
        <f>'1'!F60</f>
        <v>0</v>
      </c>
      <c r="I59" s="19">
        <f>'1'!G60</f>
        <v>0</v>
      </c>
      <c r="J59" s="19">
        <f>'1'!H60</f>
        <v>0</v>
      </c>
      <c r="K59" s="19">
        <f>'1'!I60</f>
        <v>0</v>
      </c>
      <c r="L59" s="19">
        <f>'1'!J60</f>
        <v>0</v>
      </c>
    </row>
    <row r="60" spans="1:12" ht="14.5" hidden="1" customHeight="1">
      <c r="A60" s="42" t="s">
        <v>56</v>
      </c>
      <c r="B60" s="56"/>
      <c r="C60" s="29" t="s">
        <v>59</v>
      </c>
      <c r="D60" s="19">
        <f>'1'!B61</f>
        <v>0</v>
      </c>
      <c r="E60" s="19">
        <f>'1'!C61</f>
        <v>0</v>
      </c>
      <c r="F60" s="19">
        <f>'1'!D61</f>
        <v>0</v>
      </c>
      <c r="G60" s="19">
        <f>'1'!E61</f>
        <v>0</v>
      </c>
      <c r="H60" s="19">
        <f>'1'!F61</f>
        <v>0</v>
      </c>
      <c r="I60" s="19">
        <f>'1'!G61</f>
        <v>0</v>
      </c>
      <c r="J60" s="19">
        <f>'1'!H61</f>
        <v>0</v>
      </c>
      <c r="K60" s="19">
        <f>'1'!I61</f>
        <v>0</v>
      </c>
      <c r="L60" s="19">
        <f>'1'!J61</f>
        <v>0</v>
      </c>
    </row>
    <row r="61" spans="1:12" ht="14.5" hidden="1" customHeight="1">
      <c r="A61" s="42" t="s">
        <v>56</v>
      </c>
      <c r="B61" s="56"/>
      <c r="C61" s="29" t="s">
        <v>60</v>
      </c>
      <c r="D61" s="19">
        <f>'1'!B62</f>
        <v>0</v>
      </c>
      <c r="E61" s="19">
        <f>'1'!C62</f>
        <v>0</v>
      </c>
      <c r="F61" s="19">
        <f>'1'!D62</f>
        <v>0</v>
      </c>
      <c r="G61" s="19">
        <f>'1'!E62</f>
        <v>0</v>
      </c>
      <c r="H61" s="19">
        <f>'1'!F62</f>
        <v>0</v>
      </c>
      <c r="I61" s="19">
        <f>'1'!G62</f>
        <v>0</v>
      </c>
      <c r="J61" s="19">
        <f>'1'!H62</f>
        <v>0</v>
      </c>
      <c r="K61" s="19">
        <f>'1'!I62</f>
        <v>0</v>
      </c>
      <c r="L61" s="19">
        <f>'1'!J62</f>
        <v>0</v>
      </c>
    </row>
    <row r="62" spans="1:12" ht="14.5" hidden="1" customHeight="1">
      <c r="A62" s="42" t="s">
        <v>56</v>
      </c>
      <c r="B62" s="56"/>
      <c r="C62" s="29" t="s">
        <v>61</v>
      </c>
      <c r="D62" s="19">
        <f>'1'!B63</f>
        <v>0</v>
      </c>
      <c r="E62" s="19">
        <f>'1'!C63</f>
        <v>0</v>
      </c>
      <c r="F62" s="19">
        <f>'1'!D63</f>
        <v>0</v>
      </c>
      <c r="G62" s="19">
        <f>'1'!E63</f>
        <v>0</v>
      </c>
      <c r="H62" s="19">
        <f>'1'!F63</f>
        <v>0</v>
      </c>
      <c r="I62" s="19">
        <f>'1'!G63</f>
        <v>0</v>
      </c>
      <c r="J62" s="19">
        <f>'1'!H63</f>
        <v>0</v>
      </c>
      <c r="K62" s="19">
        <f>'1'!I63</f>
        <v>0</v>
      </c>
      <c r="L62" s="19">
        <f>'1'!J63</f>
        <v>0</v>
      </c>
    </row>
    <row r="63" spans="1:12" ht="14.5" hidden="1" customHeight="1">
      <c r="A63" s="42" t="s">
        <v>56</v>
      </c>
      <c r="B63" s="56"/>
      <c r="C63" s="29" t="s">
        <v>62</v>
      </c>
      <c r="D63" s="19">
        <f>'1'!B64</f>
        <v>0</v>
      </c>
      <c r="E63" s="19">
        <f>'1'!C64</f>
        <v>0</v>
      </c>
      <c r="F63" s="19">
        <f>'1'!D64</f>
        <v>0</v>
      </c>
      <c r="G63" s="19">
        <f>'1'!E64</f>
        <v>0</v>
      </c>
      <c r="H63" s="19">
        <f>'1'!F64</f>
        <v>0</v>
      </c>
      <c r="I63" s="19">
        <f>'1'!G64</f>
        <v>0</v>
      </c>
      <c r="J63" s="19">
        <f>'1'!H64</f>
        <v>0</v>
      </c>
      <c r="K63" s="19">
        <f>'1'!I64</f>
        <v>0</v>
      </c>
      <c r="L63" s="19">
        <f>'1'!J64</f>
        <v>0</v>
      </c>
    </row>
    <row r="64" spans="1:12" ht="14.5" hidden="1" customHeight="1">
      <c r="A64" s="42" t="s">
        <v>56</v>
      </c>
      <c r="B64" s="56"/>
      <c r="C64" s="29" t="s">
        <v>63</v>
      </c>
      <c r="D64" s="19">
        <f>'1'!B65</f>
        <v>0</v>
      </c>
      <c r="E64" s="19">
        <f>'1'!C65</f>
        <v>0</v>
      </c>
      <c r="F64" s="19">
        <f>'1'!D65</f>
        <v>0</v>
      </c>
      <c r="G64" s="19">
        <f>'1'!E65</f>
        <v>0</v>
      </c>
      <c r="H64" s="19">
        <f>'1'!F65</f>
        <v>0</v>
      </c>
      <c r="I64" s="19">
        <f>'1'!G65</f>
        <v>0</v>
      </c>
      <c r="J64" s="19">
        <f>'1'!H65</f>
        <v>0</v>
      </c>
      <c r="K64" s="19">
        <f>'1'!I65</f>
        <v>0</v>
      </c>
      <c r="L64" s="19">
        <f>'1'!J65</f>
        <v>0</v>
      </c>
    </row>
    <row r="65" spans="1:12" ht="14.5" hidden="1" customHeight="1">
      <c r="A65" s="42" t="s">
        <v>56</v>
      </c>
      <c r="B65" s="56"/>
      <c r="C65" s="29" t="s">
        <v>64</v>
      </c>
      <c r="D65" s="19">
        <f>'1'!B66</f>
        <v>0</v>
      </c>
      <c r="E65" s="19">
        <f>'1'!C66</f>
        <v>0</v>
      </c>
      <c r="F65" s="19">
        <f>'1'!D66</f>
        <v>0</v>
      </c>
      <c r="G65" s="19">
        <f>'1'!E66</f>
        <v>0</v>
      </c>
      <c r="H65" s="19">
        <f>'1'!F66</f>
        <v>0</v>
      </c>
      <c r="I65" s="19">
        <f>'1'!G66</f>
        <v>0</v>
      </c>
      <c r="J65" s="19">
        <f>'1'!H66</f>
        <v>0</v>
      </c>
      <c r="K65" s="19">
        <f>'1'!I66</f>
        <v>0</v>
      </c>
      <c r="L65" s="19">
        <f>'1'!J66</f>
        <v>0</v>
      </c>
    </row>
    <row r="66" spans="1:12" ht="14.5" hidden="1" customHeight="1">
      <c r="A66" s="42" t="s">
        <v>56</v>
      </c>
      <c r="B66" s="56"/>
      <c r="C66" s="29" t="s">
        <v>65</v>
      </c>
      <c r="D66" s="19">
        <f>'1'!B67</f>
        <v>0</v>
      </c>
      <c r="E66" s="19">
        <f>'1'!C67</f>
        <v>0</v>
      </c>
      <c r="F66" s="19">
        <f>'1'!D67</f>
        <v>0</v>
      </c>
      <c r="G66" s="19">
        <f>'1'!E67</f>
        <v>0</v>
      </c>
      <c r="H66" s="19">
        <f>'1'!F67</f>
        <v>0</v>
      </c>
      <c r="I66" s="19">
        <f>'1'!G67</f>
        <v>0</v>
      </c>
      <c r="J66" s="19">
        <f>'1'!H67</f>
        <v>0</v>
      </c>
      <c r="K66" s="19">
        <f>'1'!I67</f>
        <v>0</v>
      </c>
      <c r="L66" s="19">
        <f>'1'!J67</f>
        <v>0</v>
      </c>
    </row>
    <row r="67" spans="1:12" ht="14.5" hidden="1" customHeight="1" thickBot="1">
      <c r="A67" s="42" t="s">
        <v>56</v>
      </c>
      <c r="B67" s="57"/>
      <c r="C67" s="30" t="s">
        <v>66</v>
      </c>
      <c r="D67" s="39">
        <f>'1'!B68</f>
        <v>0</v>
      </c>
      <c r="E67" s="39">
        <f>'1'!C68</f>
        <v>0</v>
      </c>
      <c r="F67" s="39">
        <f>'1'!D68</f>
        <v>0</v>
      </c>
      <c r="G67" s="39">
        <f>'1'!E68</f>
        <v>0</v>
      </c>
      <c r="H67" s="39">
        <f>'1'!F68</f>
        <v>0</v>
      </c>
      <c r="I67" s="39">
        <f>'1'!G68</f>
        <v>0</v>
      </c>
      <c r="J67" s="39">
        <f>'1'!H68</f>
        <v>0</v>
      </c>
      <c r="K67" s="39">
        <f>'1'!I68</f>
        <v>0</v>
      </c>
      <c r="L67" s="39">
        <f>'1'!J68</f>
        <v>0</v>
      </c>
    </row>
    <row r="68" spans="1:12" ht="14.5" hidden="1" customHeight="1" thickBot="1">
      <c r="A68" s="42" t="s">
        <v>67</v>
      </c>
      <c r="B68" s="55" t="s">
        <v>67</v>
      </c>
      <c r="C68" s="32" t="s">
        <v>68</v>
      </c>
      <c r="D68" s="21">
        <f>'1'!B89</f>
        <v>0</v>
      </c>
      <c r="E68" s="21">
        <f>'1'!C89</f>
        <v>0</v>
      </c>
      <c r="F68" s="21">
        <f>'1'!D89</f>
        <v>0</v>
      </c>
      <c r="G68" s="21">
        <f>'1'!E89</f>
        <v>0</v>
      </c>
      <c r="H68" s="21">
        <f>'1'!F89</f>
        <v>0</v>
      </c>
      <c r="I68" s="21">
        <f>'1'!G89</f>
        <v>0</v>
      </c>
      <c r="J68" s="21">
        <f>'1'!H89</f>
        <v>0</v>
      </c>
      <c r="K68" s="21">
        <f>'1'!I89</f>
        <v>0</v>
      </c>
      <c r="L68" s="21">
        <f>'1'!J89</f>
        <v>0</v>
      </c>
    </row>
    <row r="69" spans="1:12" ht="14.5" hidden="1" customHeight="1">
      <c r="A69" s="42" t="s">
        <v>67</v>
      </c>
      <c r="B69" s="56"/>
      <c r="C69" s="33" t="s">
        <v>69</v>
      </c>
      <c r="D69" s="19">
        <f>'1'!B90</f>
        <v>0</v>
      </c>
      <c r="E69" s="19">
        <f>'1'!C90</f>
        <v>0</v>
      </c>
      <c r="F69" s="19">
        <f>'1'!D90</f>
        <v>0</v>
      </c>
      <c r="G69" s="19">
        <f>'1'!E90</f>
        <v>0</v>
      </c>
      <c r="H69" s="19">
        <f>'1'!F90</f>
        <v>0</v>
      </c>
      <c r="I69" s="19">
        <f>'1'!G90</f>
        <v>0</v>
      </c>
      <c r="J69" s="19">
        <f>'1'!H90</f>
        <v>0</v>
      </c>
      <c r="K69" s="19">
        <f>'1'!I90</f>
        <v>0</v>
      </c>
      <c r="L69" s="19">
        <f>'1'!J90</f>
        <v>0</v>
      </c>
    </row>
    <row r="70" spans="1:12" ht="14.5" hidden="1" customHeight="1">
      <c r="A70" s="42" t="s">
        <v>67</v>
      </c>
      <c r="B70" s="56"/>
      <c r="C70" s="33" t="s">
        <v>29</v>
      </c>
      <c r="D70" s="19">
        <f>'1'!B91</f>
        <v>0</v>
      </c>
      <c r="E70" s="19">
        <f>'1'!C91</f>
        <v>0</v>
      </c>
      <c r="F70" s="19">
        <f>'1'!D91</f>
        <v>0</v>
      </c>
      <c r="G70" s="19">
        <f>'1'!E91</f>
        <v>0</v>
      </c>
      <c r="H70" s="19">
        <f>'1'!F91</f>
        <v>0</v>
      </c>
      <c r="I70" s="19">
        <f>'1'!G91</f>
        <v>0</v>
      </c>
      <c r="J70" s="19">
        <f>'1'!H91</f>
        <v>0</v>
      </c>
      <c r="K70" s="19">
        <f>'1'!I91</f>
        <v>0</v>
      </c>
      <c r="L70" s="19">
        <f>'1'!J91</f>
        <v>0</v>
      </c>
    </row>
    <row r="71" spans="1:12" ht="14.5" hidden="1" customHeight="1">
      <c r="A71" s="42" t="s">
        <v>67</v>
      </c>
      <c r="B71" s="56"/>
      <c r="C71" s="33" t="s">
        <v>30</v>
      </c>
      <c r="D71" s="19">
        <f>'1'!B92</f>
        <v>0</v>
      </c>
      <c r="E71" s="19">
        <f>'1'!C92</f>
        <v>0</v>
      </c>
      <c r="F71" s="19">
        <f>'1'!D92</f>
        <v>0</v>
      </c>
      <c r="G71" s="19">
        <f>'1'!E92</f>
        <v>0</v>
      </c>
      <c r="H71" s="19">
        <f>'1'!F92</f>
        <v>0</v>
      </c>
      <c r="I71" s="19">
        <f>'1'!G92</f>
        <v>0</v>
      </c>
      <c r="J71" s="19">
        <f>'1'!H92</f>
        <v>0</v>
      </c>
      <c r="K71" s="19">
        <f>'1'!I92</f>
        <v>0</v>
      </c>
      <c r="L71" s="19">
        <f>'1'!J92</f>
        <v>0</v>
      </c>
    </row>
    <row r="72" spans="1:12" ht="14.5" hidden="1" customHeight="1">
      <c r="A72" s="42" t="s">
        <v>67</v>
      </c>
      <c r="B72" s="56"/>
      <c r="C72" s="33" t="s">
        <v>70</v>
      </c>
      <c r="D72" s="19">
        <f>'1'!B93</f>
        <v>0</v>
      </c>
      <c r="E72" s="19">
        <f>'1'!C93</f>
        <v>0</v>
      </c>
      <c r="F72" s="19">
        <f>'1'!D93</f>
        <v>0</v>
      </c>
      <c r="G72" s="19">
        <f>'1'!E93</f>
        <v>0</v>
      </c>
      <c r="H72" s="19">
        <f>'1'!F93</f>
        <v>0</v>
      </c>
      <c r="I72" s="19">
        <f>'1'!G93</f>
        <v>0</v>
      </c>
      <c r="J72" s="19">
        <f>'1'!H93</f>
        <v>0</v>
      </c>
      <c r="K72" s="19">
        <f>'1'!I93</f>
        <v>0</v>
      </c>
      <c r="L72" s="19">
        <f>'1'!J93</f>
        <v>0</v>
      </c>
    </row>
    <row r="73" spans="1:12" ht="14.5" hidden="1" customHeight="1">
      <c r="A73" s="42" t="s">
        <v>67</v>
      </c>
      <c r="B73" s="56"/>
      <c r="C73" s="33" t="s">
        <v>71</v>
      </c>
      <c r="D73" s="19">
        <f>'1'!B94</f>
        <v>0</v>
      </c>
      <c r="E73" s="19">
        <f>'1'!C94</f>
        <v>0</v>
      </c>
      <c r="F73" s="19">
        <f>'1'!D94</f>
        <v>0</v>
      </c>
      <c r="G73" s="19">
        <f>'1'!E94</f>
        <v>0</v>
      </c>
      <c r="H73" s="19">
        <f>'1'!F94</f>
        <v>0</v>
      </c>
      <c r="I73" s="19">
        <f>'1'!G94</f>
        <v>0</v>
      </c>
      <c r="J73" s="19">
        <f>'1'!H94</f>
        <v>0</v>
      </c>
      <c r="K73" s="19">
        <f>'1'!I94</f>
        <v>0</v>
      </c>
      <c r="L73" s="19">
        <f>'1'!J94</f>
        <v>0</v>
      </c>
    </row>
    <row r="74" spans="1:12" ht="14.5" hidden="1" customHeight="1">
      <c r="A74" s="42" t="s">
        <v>67</v>
      </c>
      <c r="B74" s="56"/>
      <c r="C74" s="33" t="s">
        <v>72</v>
      </c>
      <c r="D74" s="19">
        <f>'1'!B95</f>
        <v>0</v>
      </c>
      <c r="E74" s="19">
        <f>'1'!C95</f>
        <v>0</v>
      </c>
      <c r="F74" s="19">
        <f>'1'!D95</f>
        <v>0</v>
      </c>
      <c r="G74" s="19">
        <f>'1'!E95</f>
        <v>0</v>
      </c>
      <c r="H74" s="19">
        <f>'1'!F95</f>
        <v>0</v>
      </c>
      <c r="I74" s="19">
        <f>'1'!G95</f>
        <v>0</v>
      </c>
      <c r="J74" s="19">
        <f>'1'!H95</f>
        <v>0</v>
      </c>
      <c r="K74" s="19">
        <f>'1'!I95</f>
        <v>0</v>
      </c>
      <c r="L74" s="19">
        <f>'1'!J95</f>
        <v>0</v>
      </c>
    </row>
    <row r="75" spans="1:12" ht="14.5" hidden="1" customHeight="1" thickBot="1">
      <c r="A75" s="42" t="s">
        <v>67</v>
      </c>
      <c r="B75" s="57"/>
      <c r="C75" s="34" t="s">
        <v>73</v>
      </c>
      <c r="D75" s="39">
        <f>'1'!B96</f>
        <v>0</v>
      </c>
      <c r="E75" s="39">
        <f>'1'!C96</f>
        <v>0</v>
      </c>
      <c r="F75" s="39">
        <f>'1'!D96</f>
        <v>0</v>
      </c>
      <c r="G75" s="39">
        <f>'1'!E96</f>
        <v>0</v>
      </c>
      <c r="H75" s="39">
        <f>'1'!F96</f>
        <v>0</v>
      </c>
      <c r="I75" s="39">
        <f>'1'!G96</f>
        <v>0</v>
      </c>
      <c r="J75" s="39">
        <f>'1'!H96</f>
        <v>0</v>
      </c>
      <c r="K75" s="39">
        <f>'1'!I96</f>
        <v>0</v>
      </c>
      <c r="L75" s="39">
        <f>'1'!J96</f>
        <v>0</v>
      </c>
    </row>
    <row r="76" spans="1:12" ht="14.5" hidden="1" customHeight="1" thickBot="1">
      <c r="A76" s="42" t="s">
        <v>74</v>
      </c>
      <c r="B76" s="55" t="s">
        <v>74</v>
      </c>
      <c r="C76" s="32" t="s">
        <v>75</v>
      </c>
      <c r="D76" s="21">
        <f>'1'!B97</f>
        <v>0</v>
      </c>
      <c r="E76" s="21">
        <f>'1'!C97</f>
        <v>0</v>
      </c>
      <c r="F76" s="21">
        <f>'1'!D97</f>
        <v>0</v>
      </c>
      <c r="G76" s="21">
        <f>'1'!E97</f>
        <v>0</v>
      </c>
      <c r="H76" s="21">
        <f>'1'!F97</f>
        <v>0</v>
      </c>
      <c r="I76" s="21">
        <f>'1'!G97</f>
        <v>0</v>
      </c>
      <c r="J76" s="21">
        <f>'1'!H97</f>
        <v>0</v>
      </c>
      <c r="K76" s="21">
        <f>'1'!I97</f>
        <v>0</v>
      </c>
      <c r="L76" s="21">
        <f>'1'!J97</f>
        <v>0</v>
      </c>
    </row>
    <row r="77" spans="1:12" ht="14.5" hidden="1" customHeight="1">
      <c r="A77" s="42" t="s">
        <v>74</v>
      </c>
      <c r="B77" s="56"/>
      <c r="C77" s="33" t="s">
        <v>76</v>
      </c>
      <c r="D77" s="19">
        <f>'1'!B98</f>
        <v>0</v>
      </c>
      <c r="E77" s="19">
        <f>'1'!C98</f>
        <v>0</v>
      </c>
      <c r="F77" s="19">
        <f>'1'!D98</f>
        <v>0</v>
      </c>
      <c r="G77" s="19">
        <f>'1'!E98</f>
        <v>0</v>
      </c>
      <c r="H77" s="19">
        <f>'1'!F98</f>
        <v>0</v>
      </c>
      <c r="I77" s="19">
        <f>'1'!G98</f>
        <v>0</v>
      </c>
      <c r="J77" s="19">
        <f>'1'!H98</f>
        <v>0</v>
      </c>
      <c r="K77" s="19">
        <f>'1'!I98</f>
        <v>0</v>
      </c>
      <c r="L77" s="19">
        <f>'1'!J98</f>
        <v>0</v>
      </c>
    </row>
    <row r="78" spans="1:12" ht="14.5" hidden="1" customHeight="1">
      <c r="A78" s="42" t="s">
        <v>74</v>
      </c>
      <c r="B78" s="56"/>
      <c r="C78" s="33" t="s">
        <v>77</v>
      </c>
      <c r="D78" s="19">
        <f>'1'!B99</f>
        <v>0</v>
      </c>
      <c r="E78" s="19">
        <f>'1'!C99</f>
        <v>0</v>
      </c>
      <c r="F78" s="19">
        <f>'1'!D99</f>
        <v>0</v>
      </c>
      <c r="G78" s="19">
        <f>'1'!E99</f>
        <v>0</v>
      </c>
      <c r="H78" s="19">
        <f>'1'!F99</f>
        <v>0</v>
      </c>
      <c r="I78" s="19">
        <f>'1'!G99</f>
        <v>0</v>
      </c>
      <c r="J78" s="19">
        <f>'1'!H99</f>
        <v>0</v>
      </c>
      <c r="K78" s="19">
        <f>'1'!I99</f>
        <v>0</v>
      </c>
      <c r="L78" s="19">
        <f>'1'!J99</f>
        <v>0</v>
      </c>
    </row>
    <row r="79" spans="1:12" ht="14.5" hidden="1" customHeight="1">
      <c r="A79" s="42" t="s">
        <v>74</v>
      </c>
      <c r="B79" s="56"/>
      <c r="C79" s="33" t="s">
        <v>78</v>
      </c>
      <c r="D79" s="19">
        <f>'1'!B100</f>
        <v>0</v>
      </c>
      <c r="E79" s="19">
        <f>'1'!C100</f>
        <v>0</v>
      </c>
      <c r="F79" s="19">
        <f>'1'!D100</f>
        <v>0</v>
      </c>
      <c r="G79" s="19">
        <f>'1'!E100</f>
        <v>0</v>
      </c>
      <c r="H79" s="19">
        <f>'1'!F100</f>
        <v>0</v>
      </c>
      <c r="I79" s="19">
        <f>'1'!G100</f>
        <v>0</v>
      </c>
      <c r="J79" s="19">
        <f>'1'!H100</f>
        <v>0</v>
      </c>
      <c r="K79" s="19">
        <f>'1'!I100</f>
        <v>0</v>
      </c>
      <c r="L79" s="19">
        <f>'1'!J100</f>
        <v>0</v>
      </c>
    </row>
    <row r="80" spans="1:12" ht="14.5" hidden="1" customHeight="1">
      <c r="A80" s="42" t="s">
        <v>74</v>
      </c>
      <c r="B80" s="56"/>
      <c r="C80" s="33" t="s">
        <v>79</v>
      </c>
      <c r="D80" s="19">
        <f>'1'!B101</f>
        <v>0</v>
      </c>
      <c r="E80" s="19">
        <f>'1'!C101</f>
        <v>0</v>
      </c>
      <c r="F80" s="19">
        <f>'1'!D101</f>
        <v>0</v>
      </c>
      <c r="G80" s="19">
        <f>'1'!E101</f>
        <v>0</v>
      </c>
      <c r="H80" s="19">
        <f>'1'!F101</f>
        <v>0</v>
      </c>
      <c r="I80" s="19">
        <f>'1'!G101</f>
        <v>0</v>
      </c>
      <c r="J80" s="19">
        <f>'1'!H101</f>
        <v>0</v>
      </c>
      <c r="K80" s="19">
        <f>'1'!I101</f>
        <v>0</v>
      </c>
      <c r="L80" s="19">
        <f>'1'!J101</f>
        <v>0</v>
      </c>
    </row>
    <row r="81" spans="1:12" ht="14.5" hidden="1" customHeight="1">
      <c r="A81" s="42" t="s">
        <v>74</v>
      </c>
      <c r="B81" s="56"/>
      <c r="C81" s="33" t="s">
        <v>80</v>
      </c>
      <c r="D81" s="19">
        <f>'1'!B102</f>
        <v>0</v>
      </c>
      <c r="E81" s="19">
        <f>'1'!C102</f>
        <v>0</v>
      </c>
      <c r="F81" s="19">
        <f>'1'!D102</f>
        <v>0</v>
      </c>
      <c r="G81" s="19">
        <f>'1'!E102</f>
        <v>0</v>
      </c>
      <c r="H81" s="19">
        <f>'1'!F102</f>
        <v>0</v>
      </c>
      <c r="I81" s="19">
        <f>'1'!G102</f>
        <v>0</v>
      </c>
      <c r="J81" s="19">
        <f>'1'!H102</f>
        <v>0</v>
      </c>
      <c r="K81" s="19">
        <f>'1'!I102</f>
        <v>0</v>
      </c>
      <c r="L81" s="19">
        <f>'1'!J102</f>
        <v>0</v>
      </c>
    </row>
    <row r="82" spans="1:12" ht="14.5" hidden="1" customHeight="1">
      <c r="A82" s="42" t="s">
        <v>74</v>
      </c>
      <c r="B82" s="56"/>
      <c r="C82" s="33" t="s">
        <v>81</v>
      </c>
      <c r="D82" s="19">
        <f>'1'!B103</f>
        <v>0</v>
      </c>
      <c r="E82" s="19">
        <f>'1'!C103</f>
        <v>0</v>
      </c>
      <c r="F82" s="19">
        <f>'1'!D103</f>
        <v>0</v>
      </c>
      <c r="G82" s="19">
        <f>'1'!E103</f>
        <v>0</v>
      </c>
      <c r="H82" s="19">
        <f>'1'!F103</f>
        <v>0</v>
      </c>
      <c r="I82" s="19">
        <f>'1'!G103</f>
        <v>0</v>
      </c>
      <c r="J82" s="19">
        <f>'1'!H103</f>
        <v>0</v>
      </c>
      <c r="K82" s="19">
        <f>'1'!I103</f>
        <v>0</v>
      </c>
      <c r="L82" s="19">
        <f>'1'!J103</f>
        <v>0</v>
      </c>
    </row>
    <row r="83" spans="1:12" ht="14.5" hidden="1" customHeight="1">
      <c r="A83" s="42" t="s">
        <v>74</v>
      </c>
      <c r="B83" s="56"/>
      <c r="C83" s="33" t="s">
        <v>82</v>
      </c>
      <c r="D83" s="19">
        <f>'1'!B104</f>
        <v>0</v>
      </c>
      <c r="E83" s="19">
        <f>'1'!C104</f>
        <v>0</v>
      </c>
      <c r="F83" s="19">
        <f>'1'!D104</f>
        <v>0</v>
      </c>
      <c r="G83" s="19">
        <f>'1'!E104</f>
        <v>0</v>
      </c>
      <c r="H83" s="19">
        <f>'1'!F104</f>
        <v>0</v>
      </c>
      <c r="I83" s="19">
        <f>'1'!G104</f>
        <v>0</v>
      </c>
      <c r="J83" s="19">
        <f>'1'!H104</f>
        <v>0</v>
      </c>
      <c r="K83" s="19">
        <f>'1'!I104</f>
        <v>0</v>
      </c>
      <c r="L83" s="19">
        <f>'1'!J104</f>
        <v>0</v>
      </c>
    </row>
    <row r="84" spans="1:12" ht="14.5" hidden="1" customHeight="1">
      <c r="A84" s="42" t="s">
        <v>74</v>
      </c>
      <c r="B84" s="56"/>
      <c r="C84" s="33" t="s">
        <v>83</v>
      </c>
      <c r="D84" s="19">
        <f>'1'!B105</f>
        <v>0</v>
      </c>
      <c r="E84" s="19">
        <f>'1'!C105</f>
        <v>0</v>
      </c>
      <c r="F84" s="19">
        <f>'1'!D105</f>
        <v>0</v>
      </c>
      <c r="G84" s="19">
        <f>'1'!E105</f>
        <v>0</v>
      </c>
      <c r="H84" s="19">
        <f>'1'!F105</f>
        <v>0</v>
      </c>
      <c r="I84" s="19">
        <f>'1'!G105</f>
        <v>0</v>
      </c>
      <c r="J84" s="19">
        <f>'1'!H105</f>
        <v>0</v>
      </c>
      <c r="K84" s="19">
        <f>'1'!I105</f>
        <v>0</v>
      </c>
      <c r="L84" s="19">
        <f>'1'!J105</f>
        <v>0</v>
      </c>
    </row>
    <row r="85" spans="1:12" ht="14.5" hidden="1" customHeight="1">
      <c r="A85" s="42" t="s">
        <v>74</v>
      </c>
      <c r="B85" s="56"/>
      <c r="C85" s="33" t="s">
        <v>84</v>
      </c>
      <c r="D85" s="19">
        <f>'1'!B106</f>
        <v>0</v>
      </c>
      <c r="E85" s="19">
        <f>'1'!C106</f>
        <v>0</v>
      </c>
      <c r="F85" s="19">
        <f>'1'!D106</f>
        <v>0</v>
      </c>
      <c r="G85" s="19">
        <f>'1'!E106</f>
        <v>0</v>
      </c>
      <c r="H85" s="19">
        <f>'1'!F106</f>
        <v>0</v>
      </c>
      <c r="I85" s="19">
        <f>'1'!G106</f>
        <v>0</v>
      </c>
      <c r="J85" s="19">
        <f>'1'!H106</f>
        <v>0</v>
      </c>
      <c r="K85" s="19">
        <f>'1'!I106</f>
        <v>0</v>
      </c>
      <c r="L85" s="19">
        <f>'1'!J106</f>
        <v>0</v>
      </c>
    </row>
    <row r="86" spans="1:12" ht="14.5" hidden="1" customHeight="1" thickBot="1">
      <c r="A86" s="42" t="s">
        <v>74</v>
      </c>
      <c r="B86" s="57"/>
      <c r="C86" s="34" t="s">
        <v>85</v>
      </c>
      <c r="D86" s="39">
        <f>'1'!B107</f>
        <v>0</v>
      </c>
      <c r="E86" s="39">
        <f>'1'!C107</f>
        <v>0</v>
      </c>
      <c r="F86" s="39">
        <f>'1'!D107</f>
        <v>0</v>
      </c>
      <c r="G86" s="39">
        <f>'1'!E107</f>
        <v>0</v>
      </c>
      <c r="H86" s="39">
        <f>'1'!F107</f>
        <v>0</v>
      </c>
      <c r="I86" s="39">
        <f>'1'!G107</f>
        <v>0</v>
      </c>
      <c r="J86" s="39">
        <f>'1'!H107</f>
        <v>0</v>
      </c>
      <c r="K86" s="39">
        <f>'1'!I107</f>
        <v>0</v>
      </c>
      <c r="L86" s="39">
        <f>'1'!J107</f>
        <v>0</v>
      </c>
    </row>
    <row r="87" spans="1:12" ht="14.5" hidden="1" customHeight="1">
      <c r="A87" s="42" t="s">
        <v>86</v>
      </c>
      <c r="B87" s="65" t="s">
        <v>86</v>
      </c>
      <c r="C87" s="36" t="s">
        <v>87</v>
      </c>
      <c r="D87" s="21">
        <f>'1'!B108</f>
        <v>0</v>
      </c>
      <c r="E87" s="21">
        <f>'1'!C108</f>
        <v>0</v>
      </c>
      <c r="F87" s="21">
        <f>'1'!D108</f>
        <v>0</v>
      </c>
      <c r="G87" s="21">
        <f>'1'!E108</f>
        <v>0</v>
      </c>
      <c r="H87" s="21">
        <f>'1'!F108</f>
        <v>0</v>
      </c>
      <c r="I87" s="21">
        <f>'1'!G108</f>
        <v>0</v>
      </c>
      <c r="J87" s="21">
        <f>'1'!H108</f>
        <v>0</v>
      </c>
      <c r="K87" s="21">
        <f>'1'!I108</f>
        <v>0</v>
      </c>
      <c r="L87" s="21">
        <f>'1'!J108</f>
        <v>0</v>
      </c>
    </row>
    <row r="88" spans="1:12" ht="14.5" hidden="1" customHeight="1">
      <c r="A88" s="42" t="s">
        <v>86</v>
      </c>
      <c r="B88" s="56"/>
      <c r="C88" s="33" t="s">
        <v>88</v>
      </c>
      <c r="D88" s="19">
        <f>'1'!B109</f>
        <v>0</v>
      </c>
      <c r="E88" s="19">
        <f>'1'!C109</f>
        <v>0</v>
      </c>
      <c r="F88" s="19">
        <f>'1'!D109</f>
        <v>0</v>
      </c>
      <c r="G88" s="19">
        <f>'1'!E109</f>
        <v>0</v>
      </c>
      <c r="H88" s="19">
        <f>'1'!F109</f>
        <v>0</v>
      </c>
      <c r="I88" s="19">
        <f>'1'!G109</f>
        <v>0</v>
      </c>
      <c r="J88" s="19">
        <f>'1'!H109</f>
        <v>0</v>
      </c>
      <c r="K88" s="19">
        <f>'1'!I109</f>
        <v>0</v>
      </c>
      <c r="L88" s="19">
        <f>'1'!J109</f>
        <v>0</v>
      </c>
    </row>
    <row r="89" spans="1:12" ht="14.5" hidden="1" customHeight="1">
      <c r="A89" s="42" t="s">
        <v>86</v>
      </c>
      <c r="B89" s="56"/>
      <c r="C89" s="33" t="s">
        <v>89</v>
      </c>
      <c r="D89" s="19">
        <f>'1'!B110</f>
        <v>0</v>
      </c>
      <c r="E89" s="19">
        <f>'1'!C110</f>
        <v>0</v>
      </c>
      <c r="F89" s="19">
        <f>'1'!D110</f>
        <v>0</v>
      </c>
      <c r="G89" s="19">
        <f>'1'!E110</f>
        <v>0</v>
      </c>
      <c r="H89" s="19">
        <f>'1'!F110</f>
        <v>0</v>
      </c>
      <c r="I89" s="19">
        <f>'1'!G110</f>
        <v>0</v>
      </c>
      <c r="J89" s="19">
        <f>'1'!H110</f>
        <v>0</v>
      </c>
      <c r="K89" s="19">
        <f>'1'!I110</f>
        <v>0</v>
      </c>
      <c r="L89" s="19">
        <f>'1'!J110</f>
        <v>0</v>
      </c>
    </row>
    <row r="90" spans="1:12" ht="14.5" hidden="1" customHeight="1">
      <c r="A90" s="42" t="s">
        <v>86</v>
      </c>
      <c r="B90" s="56"/>
      <c r="C90" s="33" t="s">
        <v>90</v>
      </c>
      <c r="D90" s="19">
        <f>'1'!B111</f>
        <v>0</v>
      </c>
      <c r="E90" s="19">
        <f>'1'!C111</f>
        <v>0</v>
      </c>
      <c r="F90" s="19">
        <f>'1'!D111</f>
        <v>0</v>
      </c>
      <c r="G90" s="19">
        <f>'1'!E111</f>
        <v>0</v>
      </c>
      <c r="H90" s="19">
        <f>'1'!F111</f>
        <v>0</v>
      </c>
      <c r="I90" s="19">
        <f>'1'!G111</f>
        <v>0</v>
      </c>
      <c r="J90" s="19">
        <f>'1'!H111</f>
        <v>0</v>
      </c>
      <c r="K90" s="19">
        <f>'1'!I111</f>
        <v>0</v>
      </c>
      <c r="L90" s="19">
        <f>'1'!J111</f>
        <v>0</v>
      </c>
    </row>
    <row r="91" spans="1:12" ht="14.5" hidden="1" customHeight="1" thickBot="1">
      <c r="A91" s="42" t="s">
        <v>86</v>
      </c>
      <c r="B91" s="56"/>
      <c r="C91" s="35" t="s">
        <v>85</v>
      </c>
      <c r="D91" s="39">
        <f>'1'!B112</f>
        <v>0</v>
      </c>
      <c r="E91" s="39">
        <f>'1'!C112</f>
        <v>0</v>
      </c>
      <c r="F91" s="39">
        <f>'1'!D112</f>
        <v>0</v>
      </c>
      <c r="G91" s="39">
        <f>'1'!E112</f>
        <v>0</v>
      </c>
      <c r="H91" s="39">
        <f>'1'!F112</f>
        <v>0</v>
      </c>
      <c r="I91" s="39">
        <f>'1'!G112</f>
        <v>0</v>
      </c>
      <c r="J91" s="39">
        <f>'1'!H112</f>
        <v>0</v>
      </c>
      <c r="K91" s="39">
        <f>'1'!I112</f>
        <v>0</v>
      </c>
      <c r="L91" s="39">
        <f>'1'!J112</f>
        <v>0</v>
      </c>
    </row>
    <row r="92" spans="1:12" ht="14.5" hidden="1" customHeight="1" thickBot="1">
      <c r="A92" s="42" t="s">
        <v>91</v>
      </c>
      <c r="B92" s="55" t="s">
        <v>91</v>
      </c>
      <c r="C92" s="32" t="s">
        <v>92</v>
      </c>
      <c r="D92" s="21">
        <f>'1'!B113</f>
        <v>0</v>
      </c>
      <c r="E92" s="21">
        <f>'1'!C113</f>
        <v>0</v>
      </c>
      <c r="F92" s="21">
        <f>'1'!D113</f>
        <v>0</v>
      </c>
      <c r="G92" s="21">
        <f>'1'!E113</f>
        <v>0</v>
      </c>
      <c r="H92" s="21">
        <f>'1'!F113</f>
        <v>0</v>
      </c>
      <c r="I92" s="21">
        <f>'1'!G113</f>
        <v>0</v>
      </c>
      <c r="J92" s="21">
        <f>'1'!H113</f>
        <v>0</v>
      </c>
      <c r="K92" s="21">
        <f>'1'!I113</f>
        <v>0</v>
      </c>
      <c r="L92" s="21">
        <f>'1'!J113</f>
        <v>0</v>
      </c>
    </row>
    <row r="93" spans="1:12" ht="14.5" hidden="1" customHeight="1">
      <c r="A93" s="42" t="s">
        <v>91</v>
      </c>
      <c r="B93" s="56"/>
      <c r="C93" s="33" t="s">
        <v>93</v>
      </c>
      <c r="D93" s="19">
        <f>'1'!B114</f>
        <v>0</v>
      </c>
      <c r="E93" s="19">
        <f>'1'!C114</f>
        <v>0</v>
      </c>
      <c r="F93" s="19">
        <f>'1'!D114</f>
        <v>0</v>
      </c>
      <c r="G93" s="19">
        <f>'1'!E114</f>
        <v>0</v>
      </c>
      <c r="H93" s="19">
        <f>'1'!F114</f>
        <v>0</v>
      </c>
      <c r="I93" s="19">
        <f>'1'!G114</f>
        <v>0</v>
      </c>
      <c r="J93" s="19">
        <f>'1'!H114</f>
        <v>0</v>
      </c>
      <c r="K93" s="19">
        <f>'1'!I114</f>
        <v>0</v>
      </c>
      <c r="L93" s="19">
        <f>'1'!J114</f>
        <v>0</v>
      </c>
    </row>
    <row r="94" spans="1:12" ht="14.5" hidden="1" customHeight="1">
      <c r="A94" s="42" t="s">
        <v>91</v>
      </c>
      <c r="B94" s="56"/>
      <c r="C94" s="33" t="s">
        <v>94</v>
      </c>
      <c r="D94" s="19">
        <f>'1'!B115</f>
        <v>0</v>
      </c>
      <c r="E94" s="19">
        <f>'1'!C115</f>
        <v>0</v>
      </c>
      <c r="F94" s="19">
        <f>'1'!D115</f>
        <v>0</v>
      </c>
      <c r="G94" s="19">
        <f>'1'!E115</f>
        <v>0</v>
      </c>
      <c r="H94" s="19">
        <f>'1'!F115</f>
        <v>0</v>
      </c>
      <c r="I94" s="19">
        <f>'1'!G115</f>
        <v>0</v>
      </c>
      <c r="J94" s="19">
        <f>'1'!H115</f>
        <v>0</v>
      </c>
      <c r="K94" s="19">
        <f>'1'!I115</f>
        <v>0</v>
      </c>
      <c r="L94" s="19">
        <f>'1'!J115</f>
        <v>0</v>
      </c>
    </row>
    <row r="95" spans="1:12" ht="14.5" hidden="1" customHeight="1">
      <c r="A95" s="42" t="s">
        <v>91</v>
      </c>
      <c r="B95" s="56"/>
      <c r="C95" s="33" t="s">
        <v>95</v>
      </c>
      <c r="D95" s="19">
        <f>'1'!B116</f>
        <v>0</v>
      </c>
      <c r="E95" s="19">
        <f>'1'!C116</f>
        <v>0</v>
      </c>
      <c r="F95" s="19">
        <f>'1'!D116</f>
        <v>0</v>
      </c>
      <c r="G95" s="19">
        <f>'1'!E116</f>
        <v>0</v>
      </c>
      <c r="H95" s="19">
        <f>'1'!F116</f>
        <v>0</v>
      </c>
      <c r="I95" s="19">
        <f>'1'!G116</f>
        <v>0</v>
      </c>
      <c r="J95" s="19">
        <f>'1'!H116</f>
        <v>0</v>
      </c>
      <c r="K95" s="19">
        <f>'1'!I116</f>
        <v>0</v>
      </c>
      <c r="L95" s="19">
        <f>'1'!J116</f>
        <v>0</v>
      </c>
    </row>
    <row r="96" spans="1:12" ht="14.5" hidden="1" customHeight="1" thickBot="1">
      <c r="A96" s="42" t="s">
        <v>91</v>
      </c>
      <c r="B96" s="57"/>
      <c r="C96" s="34" t="s">
        <v>85</v>
      </c>
      <c r="D96" s="39">
        <f>'1'!B117</f>
        <v>0</v>
      </c>
      <c r="E96" s="39">
        <f>'1'!C117</f>
        <v>0</v>
      </c>
      <c r="F96" s="39">
        <f>'1'!D117</f>
        <v>0</v>
      </c>
      <c r="G96" s="39">
        <f>'1'!E117</f>
        <v>0</v>
      </c>
      <c r="H96" s="39">
        <f>'1'!F117</f>
        <v>0</v>
      </c>
      <c r="I96" s="39">
        <f>'1'!G117</f>
        <v>0</v>
      </c>
      <c r="J96" s="39">
        <f>'1'!H117</f>
        <v>0</v>
      </c>
      <c r="K96" s="39">
        <f>'1'!I117</f>
        <v>0</v>
      </c>
      <c r="L96" s="39">
        <f>'1'!J117</f>
        <v>0</v>
      </c>
    </row>
    <row r="97" spans="1:12" ht="14.5" hidden="1" customHeight="1" thickBot="1">
      <c r="A97" s="42" t="s">
        <v>96</v>
      </c>
      <c r="B97" s="55" t="s">
        <v>96</v>
      </c>
      <c r="C97" s="32" t="s">
        <v>97</v>
      </c>
      <c r="D97" s="21">
        <f>'1'!B118</f>
        <v>0</v>
      </c>
      <c r="E97" s="21">
        <f>'1'!C118</f>
        <v>0</v>
      </c>
      <c r="F97" s="21">
        <f>'1'!D118</f>
        <v>0</v>
      </c>
      <c r="G97" s="21">
        <f>'1'!E118</f>
        <v>0</v>
      </c>
      <c r="H97" s="21">
        <f>'1'!F118</f>
        <v>0</v>
      </c>
      <c r="I97" s="21">
        <f>'1'!G118</f>
        <v>0</v>
      </c>
      <c r="J97" s="21">
        <f>'1'!H118</f>
        <v>0</v>
      </c>
      <c r="K97" s="21">
        <f>'1'!I118</f>
        <v>0</v>
      </c>
      <c r="L97" s="21">
        <f>'1'!J118</f>
        <v>0</v>
      </c>
    </row>
    <row r="98" spans="1:12" ht="14.5" hidden="1" customHeight="1">
      <c r="A98" s="42" t="s">
        <v>96</v>
      </c>
      <c r="B98" s="56"/>
      <c r="C98" s="33" t="s">
        <v>98</v>
      </c>
      <c r="D98" s="19">
        <f>'1'!B119</f>
        <v>0</v>
      </c>
      <c r="E98" s="19">
        <f>'1'!C119</f>
        <v>0</v>
      </c>
      <c r="F98" s="19">
        <f>'1'!D119</f>
        <v>0</v>
      </c>
      <c r="G98" s="19">
        <f>'1'!E119</f>
        <v>0</v>
      </c>
      <c r="H98" s="19">
        <f>'1'!F119</f>
        <v>0</v>
      </c>
      <c r="I98" s="19">
        <f>'1'!G119</f>
        <v>0</v>
      </c>
      <c r="J98" s="19">
        <f>'1'!H119</f>
        <v>0</v>
      </c>
      <c r="K98" s="19">
        <f>'1'!I119</f>
        <v>0</v>
      </c>
      <c r="L98" s="19">
        <f>'1'!J119</f>
        <v>0</v>
      </c>
    </row>
    <row r="99" spans="1:12" ht="14.5" hidden="1" customHeight="1">
      <c r="A99" s="42" t="s">
        <v>96</v>
      </c>
      <c r="B99" s="56"/>
      <c r="C99" s="33" t="s">
        <v>99</v>
      </c>
      <c r="D99" s="19">
        <f>'1'!B120</f>
        <v>0</v>
      </c>
      <c r="E99" s="19">
        <f>'1'!C120</f>
        <v>0</v>
      </c>
      <c r="F99" s="19">
        <f>'1'!D120</f>
        <v>0</v>
      </c>
      <c r="G99" s="19">
        <f>'1'!E120</f>
        <v>0</v>
      </c>
      <c r="H99" s="19">
        <f>'1'!F120</f>
        <v>0</v>
      </c>
      <c r="I99" s="19">
        <f>'1'!G120</f>
        <v>0</v>
      </c>
      <c r="J99" s="19">
        <f>'1'!H120</f>
        <v>0</v>
      </c>
      <c r="K99" s="19">
        <f>'1'!I120</f>
        <v>0</v>
      </c>
      <c r="L99" s="19">
        <f>'1'!J120</f>
        <v>0</v>
      </c>
    </row>
    <row r="100" spans="1:12" ht="14.5" hidden="1" customHeight="1">
      <c r="A100" s="42" t="s">
        <v>96</v>
      </c>
      <c r="B100" s="56"/>
      <c r="C100" s="33" t="s">
        <v>100</v>
      </c>
      <c r="D100" s="19">
        <f>'1'!B121</f>
        <v>0</v>
      </c>
      <c r="E100" s="19">
        <f>'1'!C121</f>
        <v>0</v>
      </c>
      <c r="F100" s="19">
        <f>'1'!D121</f>
        <v>0</v>
      </c>
      <c r="G100" s="19">
        <f>'1'!E121</f>
        <v>0</v>
      </c>
      <c r="H100" s="19">
        <f>'1'!F121</f>
        <v>0</v>
      </c>
      <c r="I100" s="19">
        <f>'1'!G121</f>
        <v>0</v>
      </c>
      <c r="J100" s="19">
        <f>'1'!H121</f>
        <v>0</v>
      </c>
      <c r="K100" s="19">
        <f>'1'!I121</f>
        <v>0</v>
      </c>
      <c r="L100" s="19">
        <f>'1'!J121</f>
        <v>0</v>
      </c>
    </row>
    <row r="101" spans="1:12" ht="14.5" hidden="1" customHeight="1">
      <c r="A101" s="42" t="s">
        <v>96</v>
      </c>
      <c r="B101" s="56"/>
      <c r="C101" s="33" t="s">
        <v>101</v>
      </c>
      <c r="D101" s="19">
        <f>'1'!B122</f>
        <v>0</v>
      </c>
      <c r="E101" s="19">
        <f>'1'!C122</f>
        <v>0</v>
      </c>
      <c r="F101" s="19">
        <f>'1'!D122</f>
        <v>0</v>
      </c>
      <c r="G101" s="19">
        <f>'1'!E122</f>
        <v>0</v>
      </c>
      <c r="H101" s="19">
        <f>'1'!F122</f>
        <v>0</v>
      </c>
      <c r="I101" s="19">
        <f>'1'!G122</f>
        <v>0</v>
      </c>
      <c r="J101" s="19">
        <f>'1'!H122</f>
        <v>0</v>
      </c>
      <c r="K101" s="19">
        <f>'1'!I122</f>
        <v>0</v>
      </c>
      <c r="L101" s="19">
        <f>'1'!J122</f>
        <v>0</v>
      </c>
    </row>
    <row r="102" spans="1:12" ht="14.5" hidden="1" customHeight="1" thickBot="1">
      <c r="A102" s="42" t="s">
        <v>96</v>
      </c>
      <c r="B102" s="57"/>
      <c r="C102" s="34" t="s">
        <v>85</v>
      </c>
      <c r="D102" s="39">
        <f>'1'!B123</f>
        <v>0</v>
      </c>
      <c r="E102" s="39">
        <f>'1'!C123</f>
        <v>0</v>
      </c>
      <c r="F102" s="39">
        <f>'1'!D123</f>
        <v>0</v>
      </c>
      <c r="G102" s="39">
        <f>'1'!E123</f>
        <v>0</v>
      </c>
      <c r="H102" s="39">
        <f>'1'!F123</f>
        <v>0</v>
      </c>
      <c r="I102" s="39">
        <f>'1'!G123</f>
        <v>0</v>
      </c>
      <c r="J102" s="39">
        <f>'1'!H123</f>
        <v>0</v>
      </c>
      <c r="K102" s="39">
        <f>'1'!I123</f>
        <v>0</v>
      </c>
      <c r="L102" s="39">
        <f>'1'!J123</f>
        <v>0</v>
      </c>
    </row>
    <row r="103" spans="1:12" ht="14.5" hidden="1" customHeight="1" thickBot="1">
      <c r="A103" s="42" t="s">
        <v>102</v>
      </c>
      <c r="B103" s="55" t="s">
        <v>102</v>
      </c>
      <c r="C103" s="32" t="s">
        <v>103</v>
      </c>
      <c r="D103" s="21">
        <f>'1'!B124</f>
        <v>0</v>
      </c>
      <c r="E103" s="21">
        <f>'1'!C124</f>
        <v>0</v>
      </c>
      <c r="F103" s="21">
        <f>'1'!D124</f>
        <v>0</v>
      </c>
      <c r="G103" s="21">
        <f>'1'!E124</f>
        <v>0</v>
      </c>
      <c r="H103" s="21">
        <f>'1'!F124</f>
        <v>0</v>
      </c>
      <c r="I103" s="21">
        <f>'1'!G124</f>
        <v>0</v>
      </c>
      <c r="J103" s="21">
        <f>'1'!H124</f>
        <v>0</v>
      </c>
      <c r="K103" s="21">
        <f>'1'!I124</f>
        <v>0</v>
      </c>
      <c r="L103" s="21">
        <f>'1'!J124</f>
        <v>0</v>
      </c>
    </row>
    <row r="104" spans="1:12" ht="14.5" hidden="1" customHeight="1">
      <c r="A104" s="42" t="s">
        <v>102</v>
      </c>
      <c r="B104" s="56"/>
      <c r="C104" s="33" t="s">
        <v>104</v>
      </c>
      <c r="D104" s="19">
        <f>'1'!B125</f>
        <v>0</v>
      </c>
      <c r="E104" s="19">
        <f>'1'!C125</f>
        <v>0</v>
      </c>
      <c r="F104" s="19">
        <f>'1'!D125</f>
        <v>0</v>
      </c>
      <c r="G104" s="19">
        <f>'1'!E125</f>
        <v>0</v>
      </c>
      <c r="H104" s="19">
        <f>'1'!F125</f>
        <v>0</v>
      </c>
      <c r="I104" s="19">
        <f>'1'!G125</f>
        <v>0</v>
      </c>
      <c r="J104" s="19">
        <f>'1'!H125</f>
        <v>0</v>
      </c>
      <c r="K104" s="19">
        <f>'1'!I125</f>
        <v>0</v>
      </c>
      <c r="L104" s="19">
        <f>'1'!J125</f>
        <v>0</v>
      </c>
    </row>
    <row r="105" spans="1:12" ht="14.5" hidden="1" customHeight="1">
      <c r="A105" s="42" t="s">
        <v>102</v>
      </c>
      <c r="B105" s="56"/>
      <c r="C105" s="33" t="s">
        <v>105</v>
      </c>
      <c r="D105" s="19">
        <f>'1'!B126</f>
        <v>0</v>
      </c>
      <c r="E105" s="19">
        <f>'1'!C126</f>
        <v>0</v>
      </c>
      <c r="F105" s="19">
        <f>'1'!D126</f>
        <v>0</v>
      </c>
      <c r="G105" s="19">
        <f>'1'!E126</f>
        <v>0</v>
      </c>
      <c r="H105" s="19">
        <f>'1'!F126</f>
        <v>0</v>
      </c>
      <c r="I105" s="19">
        <f>'1'!G126</f>
        <v>0</v>
      </c>
      <c r="J105" s="19">
        <f>'1'!H126</f>
        <v>0</v>
      </c>
      <c r="K105" s="19">
        <f>'1'!I126</f>
        <v>0</v>
      </c>
      <c r="L105" s="19">
        <f>'1'!J126</f>
        <v>0</v>
      </c>
    </row>
    <row r="106" spans="1:12" ht="14.5" hidden="1" customHeight="1">
      <c r="A106" s="42" t="s">
        <v>102</v>
      </c>
      <c r="B106" s="56"/>
      <c r="C106" s="33" t="s">
        <v>106</v>
      </c>
      <c r="D106" s="19">
        <f>'1'!B127</f>
        <v>0</v>
      </c>
      <c r="E106" s="19">
        <f>'1'!C127</f>
        <v>0</v>
      </c>
      <c r="F106" s="19">
        <f>'1'!D127</f>
        <v>0</v>
      </c>
      <c r="G106" s="19">
        <f>'1'!E127</f>
        <v>0</v>
      </c>
      <c r="H106" s="19">
        <f>'1'!F127</f>
        <v>0</v>
      </c>
      <c r="I106" s="19">
        <f>'1'!G127</f>
        <v>0</v>
      </c>
      <c r="J106" s="19">
        <f>'1'!H127</f>
        <v>0</v>
      </c>
      <c r="K106" s="19">
        <f>'1'!I127</f>
        <v>0</v>
      </c>
      <c r="L106" s="19">
        <f>'1'!J127</f>
        <v>0</v>
      </c>
    </row>
    <row r="107" spans="1:12" ht="14.5" hidden="1" customHeight="1">
      <c r="A107" s="42" t="s">
        <v>102</v>
      </c>
      <c r="B107" s="56"/>
      <c r="C107" s="33" t="s">
        <v>107</v>
      </c>
      <c r="D107" s="19">
        <f>'1'!B128</f>
        <v>0</v>
      </c>
      <c r="E107" s="19">
        <f>'1'!C128</f>
        <v>0</v>
      </c>
      <c r="F107" s="19">
        <f>'1'!D128</f>
        <v>0</v>
      </c>
      <c r="G107" s="19">
        <f>'1'!E128</f>
        <v>0</v>
      </c>
      <c r="H107" s="19">
        <f>'1'!F128</f>
        <v>0</v>
      </c>
      <c r="I107" s="19">
        <f>'1'!G128</f>
        <v>0</v>
      </c>
      <c r="J107" s="19">
        <f>'1'!H128</f>
        <v>0</v>
      </c>
      <c r="K107" s="19">
        <f>'1'!I128</f>
        <v>0</v>
      </c>
      <c r="L107" s="19">
        <f>'1'!J128</f>
        <v>0</v>
      </c>
    </row>
    <row r="108" spans="1:12" ht="14.5" hidden="1" customHeight="1">
      <c r="A108" s="42" t="s">
        <v>102</v>
      </c>
      <c r="B108" s="56"/>
      <c r="C108" s="33" t="s">
        <v>108</v>
      </c>
      <c r="D108" s="19">
        <f>'1'!B129</f>
        <v>0</v>
      </c>
      <c r="E108" s="19">
        <f>'1'!C129</f>
        <v>0</v>
      </c>
      <c r="F108" s="19">
        <f>'1'!D129</f>
        <v>0</v>
      </c>
      <c r="G108" s="19">
        <f>'1'!E129</f>
        <v>0</v>
      </c>
      <c r="H108" s="19">
        <f>'1'!F129</f>
        <v>0</v>
      </c>
      <c r="I108" s="19">
        <f>'1'!G129</f>
        <v>0</v>
      </c>
      <c r="J108" s="19">
        <f>'1'!H129</f>
        <v>0</v>
      </c>
      <c r="K108" s="19">
        <f>'1'!I129</f>
        <v>0</v>
      </c>
      <c r="L108" s="19">
        <f>'1'!J129</f>
        <v>0</v>
      </c>
    </row>
    <row r="109" spans="1:12" ht="14.5" hidden="1" customHeight="1">
      <c r="A109" s="42" t="s">
        <v>102</v>
      </c>
      <c r="B109" s="56"/>
      <c r="C109" s="33" t="s">
        <v>109</v>
      </c>
      <c r="D109" s="19">
        <f>'1'!B130</f>
        <v>0</v>
      </c>
      <c r="E109" s="19">
        <f>'1'!C130</f>
        <v>0</v>
      </c>
      <c r="F109" s="19">
        <f>'1'!D130</f>
        <v>0</v>
      </c>
      <c r="G109" s="19">
        <f>'1'!E130</f>
        <v>0</v>
      </c>
      <c r="H109" s="19">
        <f>'1'!F130</f>
        <v>0</v>
      </c>
      <c r="I109" s="19">
        <f>'1'!G130</f>
        <v>0</v>
      </c>
      <c r="J109" s="19">
        <f>'1'!H130</f>
        <v>0</v>
      </c>
      <c r="K109" s="19">
        <f>'1'!I130</f>
        <v>0</v>
      </c>
      <c r="L109" s="19">
        <f>'1'!J130</f>
        <v>0</v>
      </c>
    </row>
    <row r="110" spans="1:12" ht="14.5" hidden="1" customHeight="1" thickBot="1">
      <c r="A110" s="42" t="s">
        <v>102</v>
      </c>
      <c r="B110" s="57"/>
      <c r="C110" s="34" t="s">
        <v>85</v>
      </c>
      <c r="D110" s="39">
        <f>'1'!B131</f>
        <v>0</v>
      </c>
      <c r="E110" s="39">
        <f>'1'!C131</f>
        <v>0</v>
      </c>
      <c r="F110" s="39">
        <f>'1'!D131</f>
        <v>0</v>
      </c>
      <c r="G110" s="39">
        <f>'1'!E131</f>
        <v>0</v>
      </c>
      <c r="H110" s="39">
        <f>'1'!F131</f>
        <v>0</v>
      </c>
      <c r="I110" s="39">
        <f>'1'!G131</f>
        <v>0</v>
      </c>
      <c r="J110" s="39">
        <f>'1'!H131</f>
        <v>0</v>
      </c>
      <c r="K110" s="39">
        <f>'1'!I131</f>
        <v>0</v>
      </c>
      <c r="L110" s="39">
        <f>'1'!J131</f>
        <v>0</v>
      </c>
    </row>
    <row r="111" spans="1:12" ht="14.5" hidden="1" customHeight="1" thickBot="1">
      <c r="A111" s="42" t="s">
        <v>110</v>
      </c>
      <c r="B111" s="58" t="s">
        <v>110</v>
      </c>
      <c r="C111" s="32" t="s">
        <v>111</v>
      </c>
      <c r="D111" s="21">
        <f>'1'!B151</f>
        <v>0</v>
      </c>
      <c r="E111" s="21">
        <f>'1'!C151</f>
        <v>0</v>
      </c>
      <c r="F111" s="21">
        <f>'1'!D151</f>
        <v>0</v>
      </c>
      <c r="G111" s="21">
        <f>'1'!E151</f>
        <v>0</v>
      </c>
      <c r="H111" s="21">
        <f>'1'!F151</f>
        <v>0</v>
      </c>
      <c r="I111" s="21">
        <f>'1'!G151</f>
        <v>0</v>
      </c>
      <c r="J111" s="21">
        <f>'1'!H151</f>
        <v>0</v>
      </c>
      <c r="K111" s="21">
        <f>'1'!I151</f>
        <v>0</v>
      </c>
      <c r="L111" s="21">
        <f>'1'!J151</f>
        <v>0</v>
      </c>
    </row>
    <row r="112" spans="1:12" ht="14.5" hidden="1" customHeight="1">
      <c r="A112" s="42" t="s">
        <v>110</v>
      </c>
      <c r="B112" s="56"/>
      <c r="C112" s="33" t="s">
        <v>112</v>
      </c>
      <c r="D112" s="19">
        <f>'1'!B152</f>
        <v>0</v>
      </c>
      <c r="E112" s="19">
        <f>'1'!C152</f>
        <v>0</v>
      </c>
      <c r="F112" s="19">
        <f>'1'!D152</f>
        <v>0</v>
      </c>
      <c r="G112" s="19">
        <f>'1'!E152</f>
        <v>0</v>
      </c>
      <c r="H112" s="19">
        <f>'1'!F152</f>
        <v>0</v>
      </c>
      <c r="I112" s="19">
        <f>'1'!G152</f>
        <v>0</v>
      </c>
      <c r="J112" s="19">
        <f>'1'!H152</f>
        <v>0</v>
      </c>
      <c r="K112" s="19">
        <f>'1'!I152</f>
        <v>0</v>
      </c>
      <c r="L112" s="19">
        <f>'1'!J152</f>
        <v>0</v>
      </c>
    </row>
    <row r="113" spans="1:12" ht="14.5" hidden="1" customHeight="1">
      <c r="A113" s="42" t="s">
        <v>110</v>
      </c>
      <c r="B113" s="56"/>
      <c r="C113" s="33" t="s">
        <v>113</v>
      </c>
      <c r="D113" s="19">
        <f>'1'!B153</f>
        <v>0</v>
      </c>
      <c r="E113" s="19">
        <f>'1'!C153</f>
        <v>0</v>
      </c>
      <c r="F113" s="19">
        <f>'1'!D153</f>
        <v>0</v>
      </c>
      <c r="G113" s="19">
        <f>'1'!E153</f>
        <v>0</v>
      </c>
      <c r="H113" s="19">
        <f>'1'!F153</f>
        <v>0</v>
      </c>
      <c r="I113" s="19">
        <f>'1'!G153</f>
        <v>0</v>
      </c>
      <c r="J113" s="19">
        <f>'1'!H153</f>
        <v>0</v>
      </c>
      <c r="K113" s="19">
        <f>'1'!I153</f>
        <v>0</v>
      </c>
      <c r="L113" s="19">
        <f>'1'!J153</f>
        <v>0</v>
      </c>
    </row>
    <row r="114" spans="1:12" ht="14.5" hidden="1" customHeight="1">
      <c r="A114" s="42" t="s">
        <v>110</v>
      </c>
      <c r="B114" s="56"/>
      <c r="C114" s="33" t="s">
        <v>114</v>
      </c>
      <c r="D114" s="19">
        <f>'1'!B154</f>
        <v>0</v>
      </c>
      <c r="E114" s="19">
        <f>'1'!C154</f>
        <v>0</v>
      </c>
      <c r="F114" s="19">
        <f>'1'!D154</f>
        <v>0</v>
      </c>
      <c r="G114" s="19">
        <f>'1'!E154</f>
        <v>0</v>
      </c>
      <c r="H114" s="19">
        <f>'1'!F154</f>
        <v>0</v>
      </c>
      <c r="I114" s="19">
        <f>'1'!G154</f>
        <v>0</v>
      </c>
      <c r="J114" s="19">
        <f>'1'!H154</f>
        <v>0</v>
      </c>
      <c r="K114" s="19">
        <f>'1'!I154</f>
        <v>0</v>
      </c>
      <c r="L114" s="19">
        <f>'1'!J154</f>
        <v>0</v>
      </c>
    </row>
    <row r="115" spans="1:12" ht="14.5" hidden="1" customHeight="1">
      <c r="A115" s="42" t="s">
        <v>110</v>
      </c>
      <c r="B115" s="56"/>
      <c r="C115" s="33" t="s">
        <v>115</v>
      </c>
      <c r="D115" s="19">
        <f>'1'!B155</f>
        <v>0</v>
      </c>
      <c r="E115" s="19">
        <f>'1'!C155</f>
        <v>0</v>
      </c>
      <c r="F115" s="19">
        <f>'1'!D155</f>
        <v>0</v>
      </c>
      <c r="G115" s="19">
        <f>'1'!E155</f>
        <v>0</v>
      </c>
      <c r="H115" s="19">
        <f>'1'!F155</f>
        <v>0</v>
      </c>
      <c r="I115" s="19">
        <f>'1'!G155</f>
        <v>0</v>
      </c>
      <c r="J115" s="19">
        <f>'1'!H155</f>
        <v>0</v>
      </c>
      <c r="K115" s="19">
        <f>'1'!I155</f>
        <v>0</v>
      </c>
      <c r="L115" s="19">
        <f>'1'!J155</f>
        <v>0</v>
      </c>
    </row>
    <row r="116" spans="1:12" ht="14.5" hidden="1" customHeight="1">
      <c r="A116" s="42" t="s">
        <v>110</v>
      </c>
      <c r="B116" s="56"/>
      <c r="C116" s="33" t="s">
        <v>116</v>
      </c>
      <c r="D116" s="19">
        <f>'1'!B156</f>
        <v>0</v>
      </c>
      <c r="E116" s="19">
        <f>'1'!C156</f>
        <v>0</v>
      </c>
      <c r="F116" s="19">
        <f>'1'!D156</f>
        <v>0</v>
      </c>
      <c r="G116" s="19">
        <f>'1'!E156</f>
        <v>0</v>
      </c>
      <c r="H116" s="19">
        <f>'1'!F156</f>
        <v>0</v>
      </c>
      <c r="I116" s="19">
        <f>'1'!G156</f>
        <v>0</v>
      </c>
      <c r="J116" s="19">
        <f>'1'!H156</f>
        <v>0</v>
      </c>
      <c r="K116" s="19">
        <f>'1'!I156</f>
        <v>0</v>
      </c>
      <c r="L116" s="19">
        <f>'1'!J156</f>
        <v>0</v>
      </c>
    </row>
    <row r="117" spans="1:12" ht="14.5" hidden="1" customHeight="1">
      <c r="A117" s="42" t="s">
        <v>110</v>
      </c>
      <c r="B117" s="56"/>
      <c r="C117" s="33" t="s">
        <v>117</v>
      </c>
      <c r="D117" s="19">
        <f>'1'!B157</f>
        <v>0</v>
      </c>
      <c r="E117" s="19">
        <f>'1'!C157</f>
        <v>0</v>
      </c>
      <c r="F117" s="19">
        <f>'1'!D157</f>
        <v>0</v>
      </c>
      <c r="G117" s="19">
        <f>'1'!E157</f>
        <v>0</v>
      </c>
      <c r="H117" s="19">
        <f>'1'!F157</f>
        <v>0</v>
      </c>
      <c r="I117" s="19">
        <f>'1'!G157</f>
        <v>0</v>
      </c>
      <c r="J117" s="19">
        <f>'1'!H157</f>
        <v>0</v>
      </c>
      <c r="K117" s="19">
        <f>'1'!I157</f>
        <v>0</v>
      </c>
      <c r="L117" s="19">
        <f>'1'!J157</f>
        <v>0</v>
      </c>
    </row>
    <row r="118" spans="1:12" ht="14.5" hidden="1" customHeight="1">
      <c r="A118" s="42" t="s">
        <v>110</v>
      </c>
      <c r="B118" s="56"/>
      <c r="C118" s="33" t="s">
        <v>118</v>
      </c>
      <c r="D118" s="19">
        <f>'1'!B158</f>
        <v>0</v>
      </c>
      <c r="E118" s="19">
        <f>'1'!C158</f>
        <v>0</v>
      </c>
      <c r="F118" s="19">
        <f>'1'!D158</f>
        <v>0</v>
      </c>
      <c r="G118" s="19">
        <f>'1'!E158</f>
        <v>0</v>
      </c>
      <c r="H118" s="19">
        <f>'1'!F158</f>
        <v>0</v>
      </c>
      <c r="I118" s="19">
        <f>'1'!G158</f>
        <v>0</v>
      </c>
      <c r="J118" s="19">
        <f>'1'!H158</f>
        <v>0</v>
      </c>
      <c r="K118" s="19">
        <f>'1'!I158</f>
        <v>0</v>
      </c>
      <c r="L118" s="19">
        <f>'1'!J158</f>
        <v>0</v>
      </c>
    </row>
    <row r="119" spans="1:12" ht="14.5" hidden="1" customHeight="1">
      <c r="A119" s="42" t="s">
        <v>110</v>
      </c>
      <c r="B119" s="56"/>
      <c r="C119" s="33" t="s">
        <v>119</v>
      </c>
      <c r="D119" s="19">
        <f>'1'!B159</f>
        <v>0</v>
      </c>
      <c r="E119" s="19">
        <f>'1'!C159</f>
        <v>0</v>
      </c>
      <c r="F119" s="19">
        <f>'1'!D159</f>
        <v>0</v>
      </c>
      <c r="G119" s="19">
        <f>'1'!E159</f>
        <v>0</v>
      </c>
      <c r="H119" s="19">
        <f>'1'!F159</f>
        <v>0</v>
      </c>
      <c r="I119" s="19">
        <f>'1'!G159</f>
        <v>0</v>
      </c>
      <c r="J119" s="19">
        <f>'1'!H159</f>
        <v>0</v>
      </c>
      <c r="K119" s="19">
        <f>'1'!I159</f>
        <v>0</v>
      </c>
      <c r="L119" s="19">
        <f>'1'!J159</f>
        <v>0</v>
      </c>
    </row>
    <row r="120" spans="1:12" ht="14.5" hidden="1" customHeight="1">
      <c r="A120" s="42" t="s">
        <v>110</v>
      </c>
      <c r="B120" s="56"/>
      <c r="C120" s="33" t="s">
        <v>120</v>
      </c>
      <c r="D120" s="19">
        <f>'1'!B160</f>
        <v>0</v>
      </c>
      <c r="E120" s="19">
        <f>'1'!C160</f>
        <v>0</v>
      </c>
      <c r="F120" s="19">
        <f>'1'!D160</f>
        <v>0</v>
      </c>
      <c r="G120" s="19">
        <f>'1'!E160</f>
        <v>0</v>
      </c>
      <c r="H120" s="19">
        <f>'1'!F160</f>
        <v>0</v>
      </c>
      <c r="I120" s="19">
        <f>'1'!G160</f>
        <v>0</v>
      </c>
      <c r="J120" s="19">
        <f>'1'!H160</f>
        <v>0</v>
      </c>
      <c r="K120" s="19">
        <f>'1'!I160</f>
        <v>0</v>
      </c>
      <c r="L120" s="19">
        <f>'1'!J160</f>
        <v>0</v>
      </c>
    </row>
    <row r="121" spans="1:12" ht="14.5" hidden="1" customHeight="1">
      <c r="A121" s="42" t="s">
        <v>110</v>
      </c>
      <c r="B121" s="56"/>
      <c r="C121" s="33" t="s">
        <v>121</v>
      </c>
      <c r="D121" s="19">
        <f>'1'!B161</f>
        <v>0</v>
      </c>
      <c r="E121" s="19">
        <f>'1'!C161</f>
        <v>0</v>
      </c>
      <c r="F121" s="19">
        <f>'1'!D161</f>
        <v>0</v>
      </c>
      <c r="G121" s="19">
        <f>'1'!E161</f>
        <v>0</v>
      </c>
      <c r="H121" s="19">
        <f>'1'!F161</f>
        <v>0</v>
      </c>
      <c r="I121" s="19">
        <f>'1'!G161</f>
        <v>0</v>
      </c>
      <c r="J121" s="19">
        <f>'1'!H161</f>
        <v>0</v>
      </c>
      <c r="K121" s="19">
        <f>'1'!I161</f>
        <v>0</v>
      </c>
      <c r="L121" s="19">
        <f>'1'!J161</f>
        <v>0</v>
      </c>
    </row>
    <row r="122" spans="1:12" ht="14.5" hidden="1" customHeight="1">
      <c r="A122" s="42" t="s">
        <v>110</v>
      </c>
      <c r="B122" s="56"/>
      <c r="C122" s="33" t="s">
        <v>122</v>
      </c>
      <c r="D122" s="19">
        <f>'1'!B162</f>
        <v>0</v>
      </c>
      <c r="E122" s="19">
        <f>'1'!C162</f>
        <v>0</v>
      </c>
      <c r="F122" s="19">
        <f>'1'!D162</f>
        <v>0</v>
      </c>
      <c r="G122" s="19">
        <f>'1'!E162</f>
        <v>0</v>
      </c>
      <c r="H122" s="19">
        <f>'1'!F162</f>
        <v>0</v>
      </c>
      <c r="I122" s="19">
        <f>'1'!G162</f>
        <v>0</v>
      </c>
      <c r="J122" s="19">
        <f>'1'!H162</f>
        <v>0</v>
      </c>
      <c r="K122" s="19">
        <f>'1'!I162</f>
        <v>0</v>
      </c>
      <c r="L122" s="19">
        <f>'1'!J162</f>
        <v>0</v>
      </c>
    </row>
    <row r="123" spans="1:12" ht="14.5" hidden="1" customHeight="1">
      <c r="A123" s="42" t="s">
        <v>110</v>
      </c>
      <c r="B123" s="56"/>
      <c r="C123" s="33" t="s">
        <v>123</v>
      </c>
      <c r="D123" s="19">
        <f>'1'!B163</f>
        <v>0</v>
      </c>
      <c r="E123" s="19">
        <f>'1'!C163</f>
        <v>0</v>
      </c>
      <c r="F123" s="19">
        <f>'1'!D163</f>
        <v>0</v>
      </c>
      <c r="G123" s="19">
        <f>'1'!E163</f>
        <v>0</v>
      </c>
      <c r="H123" s="19">
        <f>'1'!F163</f>
        <v>0</v>
      </c>
      <c r="I123" s="19">
        <f>'1'!G163</f>
        <v>0</v>
      </c>
      <c r="J123" s="19">
        <f>'1'!H163</f>
        <v>0</v>
      </c>
      <c r="K123" s="19">
        <f>'1'!I163</f>
        <v>0</v>
      </c>
      <c r="L123" s="19">
        <f>'1'!J163</f>
        <v>0</v>
      </c>
    </row>
    <row r="124" spans="1:12" ht="14.5" hidden="1" customHeight="1">
      <c r="A124" s="42" t="s">
        <v>110</v>
      </c>
      <c r="B124" s="56"/>
      <c r="C124" s="33" t="s">
        <v>124</v>
      </c>
      <c r="D124" s="19">
        <f>'1'!B164</f>
        <v>0</v>
      </c>
      <c r="E124" s="19">
        <f>'1'!C164</f>
        <v>0</v>
      </c>
      <c r="F124" s="19">
        <f>'1'!D164</f>
        <v>0</v>
      </c>
      <c r="G124" s="19">
        <f>'1'!E164</f>
        <v>0</v>
      </c>
      <c r="H124" s="19">
        <f>'1'!F164</f>
        <v>0</v>
      </c>
      <c r="I124" s="19">
        <f>'1'!G164</f>
        <v>0</v>
      </c>
      <c r="J124" s="19">
        <f>'1'!H164</f>
        <v>0</v>
      </c>
      <c r="K124" s="19">
        <f>'1'!I164</f>
        <v>0</v>
      </c>
      <c r="L124" s="19">
        <f>'1'!J164</f>
        <v>0</v>
      </c>
    </row>
    <row r="125" spans="1:12" ht="14.5" hidden="1" customHeight="1">
      <c r="A125" s="42" t="s">
        <v>110</v>
      </c>
      <c r="B125" s="56"/>
      <c r="C125" s="33" t="s">
        <v>125</v>
      </c>
      <c r="D125" s="19">
        <f>'1'!B165</f>
        <v>0</v>
      </c>
      <c r="E125" s="19">
        <f>'1'!C165</f>
        <v>0</v>
      </c>
      <c r="F125" s="19">
        <f>'1'!D165</f>
        <v>0</v>
      </c>
      <c r="G125" s="19">
        <f>'1'!E165</f>
        <v>0</v>
      </c>
      <c r="H125" s="19">
        <f>'1'!F165</f>
        <v>0</v>
      </c>
      <c r="I125" s="19">
        <f>'1'!G165</f>
        <v>0</v>
      </c>
      <c r="J125" s="19">
        <f>'1'!H165</f>
        <v>0</v>
      </c>
      <c r="K125" s="19">
        <f>'1'!I165</f>
        <v>0</v>
      </c>
      <c r="L125" s="19">
        <f>'1'!J165</f>
        <v>0</v>
      </c>
    </row>
    <row r="126" spans="1:12" ht="14.5" hidden="1" customHeight="1">
      <c r="A126" s="42" t="s">
        <v>110</v>
      </c>
      <c r="B126" s="56"/>
      <c r="C126" s="33" t="s">
        <v>126</v>
      </c>
      <c r="D126" s="19">
        <f>'1'!B166</f>
        <v>0</v>
      </c>
      <c r="E126" s="19">
        <f>'1'!C166</f>
        <v>0</v>
      </c>
      <c r="F126" s="19">
        <f>'1'!D166</f>
        <v>0</v>
      </c>
      <c r="G126" s="19">
        <f>'1'!E166</f>
        <v>0</v>
      </c>
      <c r="H126" s="19">
        <f>'1'!F166</f>
        <v>0</v>
      </c>
      <c r="I126" s="19">
        <f>'1'!G166</f>
        <v>0</v>
      </c>
      <c r="J126" s="19">
        <f>'1'!H166</f>
        <v>0</v>
      </c>
      <c r="K126" s="19">
        <f>'1'!I166</f>
        <v>0</v>
      </c>
      <c r="L126" s="19">
        <f>'1'!J166</f>
        <v>0</v>
      </c>
    </row>
    <row r="127" spans="1:12" ht="14.5" hidden="1" customHeight="1">
      <c r="A127" s="42" t="s">
        <v>110</v>
      </c>
      <c r="B127" s="56"/>
      <c r="C127" s="33" t="s">
        <v>127</v>
      </c>
      <c r="D127" s="19">
        <f>'1'!B167</f>
        <v>0</v>
      </c>
      <c r="E127" s="19">
        <f>'1'!C167</f>
        <v>0</v>
      </c>
      <c r="F127" s="19">
        <f>'1'!D167</f>
        <v>0</v>
      </c>
      <c r="G127" s="19">
        <f>'1'!E167</f>
        <v>0</v>
      </c>
      <c r="H127" s="19">
        <f>'1'!F167</f>
        <v>0</v>
      </c>
      <c r="I127" s="19">
        <f>'1'!G167</f>
        <v>0</v>
      </c>
      <c r="J127" s="19">
        <f>'1'!H167</f>
        <v>0</v>
      </c>
      <c r="K127" s="19">
        <f>'1'!I167</f>
        <v>0</v>
      </c>
      <c r="L127" s="19">
        <f>'1'!J167</f>
        <v>0</v>
      </c>
    </row>
    <row r="128" spans="1:12" ht="14.5" hidden="1" customHeight="1" thickBot="1">
      <c r="A128" s="42" t="s">
        <v>110</v>
      </c>
      <c r="B128" s="59"/>
      <c r="C128" s="34" t="s">
        <v>128</v>
      </c>
      <c r="D128" s="39">
        <f>'1'!B168</f>
        <v>0</v>
      </c>
      <c r="E128" s="39">
        <f>'1'!C168</f>
        <v>0</v>
      </c>
      <c r="F128" s="39">
        <f>'1'!D168</f>
        <v>0</v>
      </c>
      <c r="G128" s="39">
        <f>'1'!E168</f>
        <v>0</v>
      </c>
      <c r="H128" s="39">
        <f>'1'!F168</f>
        <v>0</v>
      </c>
      <c r="I128" s="39">
        <f>'1'!G168</f>
        <v>0</v>
      </c>
      <c r="J128" s="39">
        <f>'1'!H168</f>
        <v>0</v>
      </c>
      <c r="K128" s="39">
        <f>'1'!I168</f>
        <v>0</v>
      </c>
      <c r="L128" s="39">
        <f>'1'!J168</f>
        <v>0</v>
      </c>
    </row>
    <row r="129" spans="1:12" ht="14.5" hidden="1" customHeight="1" thickBot="1">
      <c r="A129" s="42" t="s">
        <v>129</v>
      </c>
      <c r="B129" s="58" t="s">
        <v>129</v>
      </c>
      <c r="C129" s="32" t="s">
        <v>130</v>
      </c>
      <c r="D129" s="21">
        <f>'1'!B169</f>
        <v>0</v>
      </c>
      <c r="E129" s="21">
        <f>'1'!C169</f>
        <v>0</v>
      </c>
      <c r="F129" s="21">
        <f>'1'!D169</f>
        <v>0</v>
      </c>
      <c r="G129" s="21">
        <f>'1'!E169</f>
        <v>0</v>
      </c>
      <c r="H129" s="21">
        <f>'1'!F169</f>
        <v>0</v>
      </c>
      <c r="I129" s="21">
        <f>'1'!G169</f>
        <v>0</v>
      </c>
      <c r="J129" s="21">
        <f>'1'!H169</f>
        <v>0</v>
      </c>
      <c r="K129" s="21">
        <f>'1'!I169</f>
        <v>0</v>
      </c>
      <c r="L129" s="21">
        <f>'1'!J169</f>
        <v>0</v>
      </c>
    </row>
    <row r="130" spans="1:12" ht="14.5" hidden="1" customHeight="1">
      <c r="A130" s="42" t="s">
        <v>129</v>
      </c>
      <c r="B130" s="56"/>
      <c r="C130" s="33" t="s">
        <v>131</v>
      </c>
      <c r="D130" s="19">
        <f>'1'!B170</f>
        <v>0</v>
      </c>
      <c r="E130" s="19">
        <f>'1'!C170</f>
        <v>0</v>
      </c>
      <c r="F130" s="19">
        <f>'1'!D170</f>
        <v>0</v>
      </c>
      <c r="G130" s="19">
        <f>'1'!E170</f>
        <v>0</v>
      </c>
      <c r="H130" s="19">
        <f>'1'!F170</f>
        <v>0</v>
      </c>
      <c r="I130" s="19">
        <f>'1'!G170</f>
        <v>0</v>
      </c>
      <c r="J130" s="19">
        <f>'1'!H170</f>
        <v>0</v>
      </c>
      <c r="K130" s="19">
        <f>'1'!I170</f>
        <v>0</v>
      </c>
      <c r="L130" s="19">
        <f>'1'!J170</f>
        <v>0</v>
      </c>
    </row>
    <row r="131" spans="1:12" ht="14.5" hidden="1" customHeight="1">
      <c r="A131" s="42" t="s">
        <v>129</v>
      </c>
      <c r="B131" s="56"/>
      <c r="C131" s="33" t="s">
        <v>119</v>
      </c>
      <c r="D131" s="19">
        <f>'1'!B171</f>
        <v>0</v>
      </c>
      <c r="E131" s="19">
        <f>'1'!C171</f>
        <v>0</v>
      </c>
      <c r="F131" s="19">
        <f>'1'!D171</f>
        <v>0</v>
      </c>
      <c r="G131" s="19">
        <f>'1'!E171</f>
        <v>0</v>
      </c>
      <c r="H131" s="19">
        <f>'1'!F171</f>
        <v>0</v>
      </c>
      <c r="I131" s="19">
        <f>'1'!G171</f>
        <v>0</v>
      </c>
      <c r="J131" s="19">
        <f>'1'!H171</f>
        <v>0</v>
      </c>
      <c r="K131" s="19">
        <f>'1'!I171</f>
        <v>0</v>
      </c>
      <c r="L131" s="19">
        <f>'1'!J171</f>
        <v>0</v>
      </c>
    </row>
    <row r="132" spans="1:12" ht="14.5" hidden="1" customHeight="1">
      <c r="A132" s="42" t="s">
        <v>129</v>
      </c>
      <c r="B132" s="56"/>
      <c r="C132" s="33" t="s">
        <v>132</v>
      </c>
      <c r="D132" s="19">
        <f>'1'!B172</f>
        <v>0</v>
      </c>
      <c r="E132" s="19">
        <f>'1'!C172</f>
        <v>0</v>
      </c>
      <c r="F132" s="19">
        <f>'1'!D172</f>
        <v>0</v>
      </c>
      <c r="G132" s="19">
        <f>'1'!E172</f>
        <v>0</v>
      </c>
      <c r="H132" s="19">
        <f>'1'!F172</f>
        <v>0</v>
      </c>
      <c r="I132" s="19">
        <f>'1'!G172</f>
        <v>0</v>
      </c>
      <c r="J132" s="19">
        <f>'1'!H172</f>
        <v>0</v>
      </c>
      <c r="K132" s="19">
        <f>'1'!I172</f>
        <v>0</v>
      </c>
      <c r="L132" s="19">
        <f>'1'!J172</f>
        <v>0</v>
      </c>
    </row>
    <row r="133" spans="1:12" ht="14.5" hidden="1" customHeight="1">
      <c r="A133" s="42" t="s">
        <v>129</v>
      </c>
      <c r="B133" s="56"/>
      <c r="C133" s="33" t="s">
        <v>133</v>
      </c>
      <c r="D133" s="19">
        <f>'1'!B173</f>
        <v>0</v>
      </c>
      <c r="E133" s="19">
        <f>'1'!C173</f>
        <v>0</v>
      </c>
      <c r="F133" s="19">
        <f>'1'!D173</f>
        <v>0</v>
      </c>
      <c r="G133" s="19">
        <f>'1'!E173</f>
        <v>0</v>
      </c>
      <c r="H133" s="19">
        <f>'1'!F173</f>
        <v>0</v>
      </c>
      <c r="I133" s="19">
        <f>'1'!G173</f>
        <v>0</v>
      </c>
      <c r="J133" s="19">
        <f>'1'!H173</f>
        <v>0</v>
      </c>
      <c r="K133" s="19">
        <f>'1'!I173</f>
        <v>0</v>
      </c>
      <c r="L133" s="19">
        <f>'1'!J173</f>
        <v>0</v>
      </c>
    </row>
    <row r="134" spans="1:12" ht="14.5" hidden="1" customHeight="1">
      <c r="A134" s="42" t="s">
        <v>129</v>
      </c>
      <c r="B134" s="56"/>
      <c r="C134" s="33" t="s">
        <v>134</v>
      </c>
      <c r="D134" s="19">
        <f>'1'!B174</f>
        <v>0</v>
      </c>
      <c r="E134" s="19">
        <f>'1'!C174</f>
        <v>0</v>
      </c>
      <c r="F134" s="19">
        <f>'1'!D174</f>
        <v>0</v>
      </c>
      <c r="G134" s="19">
        <f>'1'!E174</f>
        <v>0</v>
      </c>
      <c r="H134" s="19">
        <f>'1'!F174</f>
        <v>0</v>
      </c>
      <c r="I134" s="19">
        <f>'1'!G174</f>
        <v>0</v>
      </c>
      <c r="J134" s="19">
        <f>'1'!H174</f>
        <v>0</v>
      </c>
      <c r="K134" s="19">
        <f>'1'!I174</f>
        <v>0</v>
      </c>
      <c r="L134" s="19">
        <f>'1'!J174</f>
        <v>0</v>
      </c>
    </row>
    <row r="135" spans="1:12" ht="14.5" hidden="1" customHeight="1" thickBot="1">
      <c r="A135" s="42" t="s">
        <v>129</v>
      </c>
      <c r="B135" s="59"/>
      <c r="C135" s="34" t="s">
        <v>135</v>
      </c>
      <c r="D135" s="39">
        <f>'1'!B175</f>
        <v>0</v>
      </c>
      <c r="E135" s="39">
        <f>'1'!C175</f>
        <v>0</v>
      </c>
      <c r="F135" s="39">
        <f>'1'!D175</f>
        <v>0</v>
      </c>
      <c r="G135" s="39">
        <f>'1'!E175</f>
        <v>0</v>
      </c>
      <c r="H135" s="39">
        <f>'1'!F175</f>
        <v>0</v>
      </c>
      <c r="I135" s="39">
        <f>'1'!G175</f>
        <v>0</v>
      </c>
      <c r="J135" s="39">
        <f>'1'!H175</f>
        <v>0</v>
      </c>
      <c r="K135" s="39">
        <f>'1'!I175</f>
        <v>0</v>
      </c>
      <c r="L135" s="39">
        <f>'1'!J175</f>
        <v>0</v>
      </c>
    </row>
    <row r="136" spans="1:12" ht="14.5" hidden="1" customHeight="1" thickBot="1">
      <c r="A136" s="42" t="s">
        <v>136</v>
      </c>
      <c r="B136" s="58" t="s">
        <v>136</v>
      </c>
      <c r="C136" s="32" t="s">
        <v>137</v>
      </c>
      <c r="D136" s="21">
        <f>'1'!B132</f>
        <v>0.61730000000000007</v>
      </c>
      <c r="E136" s="21">
        <f>'1'!C132</f>
        <v>0</v>
      </c>
      <c r="F136" s="21">
        <f>'1'!D132</f>
        <v>0</v>
      </c>
      <c r="G136" s="21">
        <f>'1'!E132</f>
        <v>0</v>
      </c>
      <c r="H136" s="21">
        <f>'1'!F132</f>
        <v>0</v>
      </c>
      <c r="I136" s="21">
        <f>'1'!G132</f>
        <v>0</v>
      </c>
      <c r="J136" s="21">
        <f>'1'!H132</f>
        <v>0</v>
      </c>
      <c r="K136" s="21">
        <f>'1'!I132</f>
        <v>0</v>
      </c>
      <c r="L136" s="21">
        <f>'1'!J132</f>
        <v>0</v>
      </c>
    </row>
    <row r="137" spans="1:12" ht="14.5" hidden="1" customHeight="1">
      <c r="A137" s="42" t="s">
        <v>136</v>
      </c>
      <c r="B137" s="56"/>
      <c r="C137" s="33" t="s">
        <v>114</v>
      </c>
      <c r="D137" s="19">
        <f>'1'!B133</f>
        <v>0.57469999999999999</v>
      </c>
      <c r="E137" s="19">
        <f>'1'!C133</f>
        <v>0</v>
      </c>
      <c r="F137" s="19">
        <f>'1'!D133</f>
        <v>0</v>
      </c>
      <c r="G137" s="19">
        <f>'1'!E133</f>
        <v>0</v>
      </c>
      <c r="H137" s="19">
        <f>'1'!F133</f>
        <v>0</v>
      </c>
      <c r="I137" s="19">
        <f>'1'!G133</f>
        <v>0</v>
      </c>
      <c r="J137" s="19">
        <f>'1'!H133</f>
        <v>0</v>
      </c>
      <c r="K137" s="19">
        <f>'1'!I133</f>
        <v>0</v>
      </c>
      <c r="L137" s="19">
        <f>'1'!J133</f>
        <v>0</v>
      </c>
    </row>
    <row r="138" spans="1:12" ht="14.5" hidden="1" customHeight="1">
      <c r="A138" s="42" t="s">
        <v>136</v>
      </c>
      <c r="B138" s="56"/>
      <c r="C138" s="33" t="s">
        <v>138</v>
      </c>
      <c r="D138" s="19">
        <f>'1'!B134</f>
        <v>0.49490000000000001</v>
      </c>
      <c r="E138" s="19">
        <f>'1'!C134</f>
        <v>0</v>
      </c>
      <c r="F138" s="19">
        <f>'1'!D134</f>
        <v>0</v>
      </c>
      <c r="G138" s="19">
        <f>'1'!E134</f>
        <v>0</v>
      </c>
      <c r="H138" s="19">
        <f>'1'!F134</f>
        <v>0</v>
      </c>
      <c r="I138" s="19">
        <f>'1'!G134</f>
        <v>0</v>
      </c>
      <c r="J138" s="19">
        <f>'1'!H134</f>
        <v>0</v>
      </c>
      <c r="K138" s="19">
        <f>'1'!I134</f>
        <v>0</v>
      </c>
      <c r="L138" s="19">
        <f>'1'!J134</f>
        <v>0</v>
      </c>
    </row>
    <row r="139" spans="1:12" ht="14.5" hidden="1" customHeight="1">
      <c r="A139" s="42" t="s">
        <v>136</v>
      </c>
      <c r="B139" s="56"/>
      <c r="C139" s="33" t="s">
        <v>139</v>
      </c>
      <c r="D139" s="19">
        <f>'1'!B135</f>
        <v>0.38019999999999998</v>
      </c>
      <c r="E139" s="19">
        <f>'1'!C135</f>
        <v>0</v>
      </c>
      <c r="F139" s="19">
        <f>'1'!D135</f>
        <v>0</v>
      </c>
      <c r="G139" s="19">
        <f>'1'!E135</f>
        <v>0</v>
      </c>
      <c r="H139" s="19">
        <f>'1'!F135</f>
        <v>0</v>
      </c>
      <c r="I139" s="19">
        <f>'1'!G135</f>
        <v>0</v>
      </c>
      <c r="J139" s="19">
        <f>'1'!H135</f>
        <v>0</v>
      </c>
      <c r="K139" s="19">
        <f>'1'!I135</f>
        <v>0</v>
      </c>
      <c r="L139" s="19">
        <f>'1'!J135</f>
        <v>0</v>
      </c>
    </row>
    <row r="140" spans="1:12" ht="14.5" hidden="1" customHeight="1">
      <c r="A140" s="42" t="s">
        <v>136</v>
      </c>
      <c r="B140" s="56"/>
      <c r="C140" s="33" t="s">
        <v>140</v>
      </c>
      <c r="D140" s="19">
        <f>'1'!B136</f>
        <v>0.39439999999999997</v>
      </c>
      <c r="E140" s="19">
        <f>'1'!C136</f>
        <v>0</v>
      </c>
      <c r="F140" s="19">
        <f>'1'!D136</f>
        <v>0</v>
      </c>
      <c r="G140" s="19">
        <f>'1'!E136</f>
        <v>0</v>
      </c>
      <c r="H140" s="19">
        <f>'1'!F136</f>
        <v>0</v>
      </c>
      <c r="I140" s="19">
        <f>'1'!G136</f>
        <v>0</v>
      </c>
      <c r="J140" s="19">
        <f>'1'!H136</f>
        <v>0</v>
      </c>
      <c r="K140" s="19">
        <f>'1'!I136</f>
        <v>0</v>
      </c>
      <c r="L140" s="19">
        <f>'1'!J136</f>
        <v>0</v>
      </c>
    </row>
    <row r="141" spans="1:12" ht="14.5" hidden="1" customHeight="1">
      <c r="A141" s="42" t="s">
        <v>136</v>
      </c>
      <c r="B141" s="56"/>
      <c r="C141" s="33" t="s">
        <v>141</v>
      </c>
      <c r="D141" s="19">
        <f>'1'!B137</f>
        <v>0.32769999999999999</v>
      </c>
      <c r="E141" s="19">
        <f>'1'!C137</f>
        <v>0</v>
      </c>
      <c r="F141" s="19">
        <f>'1'!D137</f>
        <v>0</v>
      </c>
      <c r="G141" s="19">
        <f>'1'!E137</f>
        <v>0</v>
      </c>
      <c r="H141" s="19">
        <f>'1'!F137</f>
        <v>0</v>
      </c>
      <c r="I141" s="19">
        <f>'1'!G137</f>
        <v>0</v>
      </c>
      <c r="J141" s="19">
        <f>'1'!H137</f>
        <v>0</v>
      </c>
      <c r="K141" s="19">
        <f>'1'!I137</f>
        <v>0</v>
      </c>
      <c r="L141" s="19">
        <f>'1'!J137</f>
        <v>0</v>
      </c>
    </row>
    <row r="142" spans="1:12" ht="14.5" hidden="1" customHeight="1">
      <c r="A142" s="42" t="s">
        <v>136</v>
      </c>
      <c r="B142" s="56"/>
      <c r="C142" s="33" t="s">
        <v>142</v>
      </c>
      <c r="D142" s="19">
        <f>'1'!B138</f>
        <v>0.27210000000000001</v>
      </c>
      <c r="E142" s="19">
        <f>'1'!C138</f>
        <v>0</v>
      </c>
      <c r="F142" s="19">
        <f>'1'!D138</f>
        <v>0</v>
      </c>
      <c r="G142" s="19">
        <f>'1'!E138</f>
        <v>0</v>
      </c>
      <c r="H142" s="19">
        <f>'1'!F138</f>
        <v>0</v>
      </c>
      <c r="I142" s="19">
        <f>'1'!G138</f>
        <v>0</v>
      </c>
      <c r="J142" s="19">
        <f>'1'!H138</f>
        <v>0</v>
      </c>
      <c r="K142" s="19">
        <f>'1'!I138</f>
        <v>0</v>
      </c>
      <c r="L142" s="19">
        <f>'1'!J138</f>
        <v>0</v>
      </c>
    </row>
    <row r="143" spans="1:12" ht="14.5" hidden="1" customHeight="1">
      <c r="A143" s="42" t="s">
        <v>136</v>
      </c>
      <c r="B143" s="56"/>
      <c r="C143" s="33" t="s">
        <v>143</v>
      </c>
      <c r="D143" s="19">
        <f>'1'!B139</f>
        <v>0.24970000000000001</v>
      </c>
      <c r="E143" s="19">
        <f>'1'!C139</f>
        <v>0</v>
      </c>
      <c r="F143" s="19">
        <f>'1'!D139</f>
        <v>0</v>
      </c>
      <c r="G143" s="19">
        <f>'1'!E139</f>
        <v>0</v>
      </c>
      <c r="H143" s="19">
        <f>'1'!F139</f>
        <v>0</v>
      </c>
      <c r="I143" s="19">
        <f>'1'!G139</f>
        <v>0</v>
      </c>
      <c r="J143" s="19">
        <f>'1'!H139</f>
        <v>0</v>
      </c>
      <c r="K143" s="19">
        <f>'1'!I139</f>
        <v>0</v>
      </c>
      <c r="L143" s="19">
        <f>'1'!J139</f>
        <v>0</v>
      </c>
    </row>
    <row r="144" spans="1:12" ht="14.5" hidden="1" customHeight="1">
      <c r="A144" s="42" t="s">
        <v>136</v>
      </c>
      <c r="B144" s="56"/>
      <c r="C144" s="33" t="s">
        <v>144</v>
      </c>
      <c r="D144" s="19">
        <f>'1'!B140</f>
        <v>0.15579999999999999</v>
      </c>
      <c r="E144" s="19">
        <f>'1'!C140</f>
        <v>0</v>
      </c>
      <c r="F144" s="19">
        <f>'1'!D140</f>
        <v>0</v>
      </c>
      <c r="G144" s="19">
        <f>'1'!E140</f>
        <v>0</v>
      </c>
      <c r="H144" s="19">
        <f>'1'!F140</f>
        <v>0</v>
      </c>
      <c r="I144" s="19">
        <f>'1'!G140</f>
        <v>0</v>
      </c>
      <c r="J144" s="19">
        <f>'1'!H140</f>
        <v>0</v>
      </c>
      <c r="K144" s="19">
        <f>'1'!I140</f>
        <v>0</v>
      </c>
      <c r="L144" s="19">
        <f>'1'!J140</f>
        <v>0</v>
      </c>
    </row>
    <row r="145" spans="1:12" ht="14.5" hidden="1" customHeight="1">
      <c r="A145" s="42" t="s">
        <v>136</v>
      </c>
      <c r="B145" s="56"/>
      <c r="C145" s="33" t="s">
        <v>115</v>
      </c>
      <c r="D145" s="19">
        <f>'1'!B141</f>
        <v>0.14280000000000001</v>
      </c>
      <c r="E145" s="19">
        <f>'1'!C141</f>
        <v>0</v>
      </c>
      <c r="F145" s="19">
        <f>'1'!D141</f>
        <v>0</v>
      </c>
      <c r="G145" s="19">
        <f>'1'!E141</f>
        <v>0</v>
      </c>
      <c r="H145" s="19">
        <f>'1'!F141</f>
        <v>0</v>
      </c>
      <c r="I145" s="19">
        <f>'1'!G141</f>
        <v>0</v>
      </c>
      <c r="J145" s="19">
        <f>'1'!H141</f>
        <v>0</v>
      </c>
      <c r="K145" s="19">
        <f>'1'!I141</f>
        <v>0</v>
      </c>
      <c r="L145" s="19">
        <f>'1'!J141</f>
        <v>0</v>
      </c>
    </row>
    <row r="146" spans="1:12" ht="14.5" hidden="1" customHeight="1">
      <c r="A146" s="42" t="s">
        <v>136</v>
      </c>
      <c r="B146" s="56"/>
      <c r="C146" s="33" t="s">
        <v>145</v>
      </c>
      <c r="D146" s="19">
        <f>'1'!B142</f>
        <v>7.6999999999999999E-2</v>
      </c>
      <c r="E146" s="19">
        <f>'1'!C142</f>
        <v>0</v>
      </c>
      <c r="F146" s="19">
        <f>'1'!D142</f>
        <v>0</v>
      </c>
      <c r="G146" s="19">
        <f>'1'!E142</f>
        <v>0</v>
      </c>
      <c r="H146" s="19">
        <f>'1'!F142</f>
        <v>0</v>
      </c>
      <c r="I146" s="19">
        <f>'1'!G142</f>
        <v>0</v>
      </c>
      <c r="J146" s="19">
        <f>'1'!H142</f>
        <v>0</v>
      </c>
      <c r="K146" s="19">
        <f>'1'!I142</f>
        <v>0</v>
      </c>
      <c r="L146" s="19">
        <f>'1'!J142</f>
        <v>0</v>
      </c>
    </row>
    <row r="147" spans="1:12" ht="14.5" hidden="1" customHeight="1">
      <c r="A147" s="42" t="s">
        <v>136</v>
      </c>
      <c r="B147" s="56"/>
      <c r="C147" s="33" t="s">
        <v>120</v>
      </c>
      <c r="D147" s="19">
        <f>'1'!B143</f>
        <v>3.8399999999999997E-2</v>
      </c>
      <c r="E147" s="19">
        <f>'1'!C143</f>
        <v>0</v>
      </c>
      <c r="F147" s="19">
        <f>'1'!D143</f>
        <v>0</v>
      </c>
      <c r="G147" s="19">
        <f>'1'!E143</f>
        <v>0</v>
      </c>
      <c r="H147" s="19">
        <f>'1'!F143</f>
        <v>0</v>
      </c>
      <c r="I147" s="19">
        <f>'1'!G143</f>
        <v>0</v>
      </c>
      <c r="J147" s="19">
        <f>'1'!H143</f>
        <v>0</v>
      </c>
      <c r="K147" s="19">
        <f>'1'!I143</f>
        <v>0</v>
      </c>
      <c r="L147" s="19">
        <f>'1'!J143</f>
        <v>0</v>
      </c>
    </row>
    <row r="148" spans="1:12" ht="14.5" hidden="1" customHeight="1">
      <c r="A148" s="42" t="s">
        <v>136</v>
      </c>
      <c r="B148" s="56"/>
      <c r="C148" s="33" t="s">
        <v>146</v>
      </c>
      <c r="D148" s="19">
        <f>'1'!B144</f>
        <v>1.84E-2</v>
      </c>
      <c r="E148" s="19">
        <f>'1'!C144</f>
        <v>0</v>
      </c>
      <c r="F148" s="19">
        <f>'1'!D144</f>
        <v>0</v>
      </c>
      <c r="G148" s="19">
        <f>'1'!E144</f>
        <v>0</v>
      </c>
      <c r="H148" s="19">
        <f>'1'!F144</f>
        <v>0</v>
      </c>
      <c r="I148" s="19">
        <f>'1'!G144</f>
        <v>0</v>
      </c>
      <c r="J148" s="19">
        <f>'1'!H144</f>
        <v>0</v>
      </c>
      <c r="K148" s="19">
        <f>'1'!I144</f>
        <v>0</v>
      </c>
      <c r="L148" s="19">
        <f>'1'!J144</f>
        <v>0</v>
      </c>
    </row>
    <row r="149" spans="1:12" ht="14.5" hidden="1" customHeight="1">
      <c r="A149" s="42" t="s">
        <v>136</v>
      </c>
      <c r="B149" s="56"/>
      <c r="C149" s="33" t="s">
        <v>116</v>
      </c>
      <c r="D149" s="19">
        <f>'1'!B145</f>
        <v>1.4E-3</v>
      </c>
      <c r="E149" s="19">
        <f>'1'!C145</f>
        <v>0</v>
      </c>
      <c r="F149" s="19">
        <f>'1'!D145</f>
        <v>0</v>
      </c>
      <c r="G149" s="19">
        <f>'1'!E145</f>
        <v>0</v>
      </c>
      <c r="H149" s="19">
        <f>'1'!F145</f>
        <v>0</v>
      </c>
      <c r="I149" s="19">
        <f>'1'!G145</f>
        <v>0</v>
      </c>
      <c r="J149" s="19">
        <f>'1'!H145</f>
        <v>0</v>
      </c>
      <c r="K149" s="19">
        <f>'1'!I145</f>
        <v>0</v>
      </c>
      <c r="L149" s="19">
        <f>'1'!J145</f>
        <v>0</v>
      </c>
    </row>
    <row r="150" spans="1:12" ht="14.5" hidden="1" customHeight="1">
      <c r="A150" s="42" t="s">
        <v>136</v>
      </c>
      <c r="B150" s="56"/>
      <c r="C150" s="33" t="s">
        <v>147</v>
      </c>
      <c r="D150" s="19">
        <f>'1'!B146</f>
        <v>1.2999999999999999E-3</v>
      </c>
      <c r="E150" s="19">
        <f>'1'!C146</f>
        <v>0</v>
      </c>
      <c r="F150" s="19">
        <f>'1'!D146</f>
        <v>0</v>
      </c>
      <c r="G150" s="19">
        <f>'1'!E146</f>
        <v>0</v>
      </c>
      <c r="H150" s="19">
        <f>'1'!F146</f>
        <v>0</v>
      </c>
      <c r="I150" s="19">
        <f>'1'!G146</f>
        <v>0</v>
      </c>
      <c r="J150" s="19">
        <f>'1'!H146</f>
        <v>0</v>
      </c>
      <c r="K150" s="19">
        <f>'1'!I146</f>
        <v>0</v>
      </c>
      <c r="L150" s="19">
        <f>'1'!J146</f>
        <v>0</v>
      </c>
    </row>
    <row r="151" spans="1:12" ht="14.5" hidden="1" customHeight="1">
      <c r="A151" s="42" t="s">
        <v>136</v>
      </c>
      <c r="B151" s="56"/>
      <c r="C151" s="33" t="s">
        <v>148</v>
      </c>
      <c r="D151" s="19">
        <f>'1'!B147</f>
        <v>9.0000000000000008E-4</v>
      </c>
      <c r="E151" s="19">
        <f>'1'!C147</f>
        <v>0</v>
      </c>
      <c r="F151" s="19">
        <f>'1'!D147</f>
        <v>0</v>
      </c>
      <c r="G151" s="19">
        <f>'1'!E147</f>
        <v>0</v>
      </c>
      <c r="H151" s="19">
        <f>'1'!F147</f>
        <v>0</v>
      </c>
      <c r="I151" s="19">
        <f>'1'!G147</f>
        <v>0</v>
      </c>
      <c r="J151" s="19">
        <f>'1'!H147</f>
        <v>0</v>
      </c>
      <c r="K151" s="19">
        <f>'1'!I147</f>
        <v>0</v>
      </c>
      <c r="L151" s="19">
        <f>'1'!J147</f>
        <v>0</v>
      </c>
    </row>
    <row r="152" spans="1:12" ht="14.5" hidden="1" customHeight="1">
      <c r="A152" s="42" t="s">
        <v>136</v>
      </c>
      <c r="B152" s="56"/>
      <c r="C152" s="33" t="s">
        <v>149</v>
      </c>
      <c r="D152" s="19">
        <f>'1'!B148</f>
        <v>2.9999999999999997E-4</v>
      </c>
      <c r="E152" s="19">
        <f>'1'!C148</f>
        <v>0</v>
      </c>
      <c r="F152" s="19">
        <f>'1'!D148</f>
        <v>0</v>
      </c>
      <c r="G152" s="19">
        <f>'1'!E148</f>
        <v>0</v>
      </c>
      <c r="H152" s="19">
        <f>'1'!F148</f>
        <v>0</v>
      </c>
      <c r="I152" s="19">
        <f>'1'!G148</f>
        <v>0</v>
      </c>
      <c r="J152" s="19">
        <f>'1'!H148</f>
        <v>0</v>
      </c>
      <c r="K152" s="19">
        <f>'1'!I148</f>
        <v>0</v>
      </c>
      <c r="L152" s="19">
        <f>'1'!J148</f>
        <v>0</v>
      </c>
    </row>
    <row r="153" spans="1:12" ht="14.5" hidden="1" customHeight="1">
      <c r="A153" s="42" t="s">
        <v>136</v>
      </c>
      <c r="B153" s="56"/>
      <c r="C153" s="33" t="s">
        <v>150</v>
      </c>
      <c r="D153" s="19">
        <f>'1'!B149</f>
        <v>5.0000000000000001E-4</v>
      </c>
      <c r="E153" s="19">
        <f>'1'!C149</f>
        <v>0</v>
      </c>
      <c r="F153" s="19">
        <f>'1'!D149</f>
        <v>0</v>
      </c>
      <c r="G153" s="19">
        <f>'1'!E149</f>
        <v>0</v>
      </c>
      <c r="H153" s="19">
        <f>'1'!F149</f>
        <v>0</v>
      </c>
      <c r="I153" s="19">
        <f>'1'!G149</f>
        <v>0</v>
      </c>
      <c r="J153" s="19">
        <f>'1'!H149</f>
        <v>0</v>
      </c>
      <c r="K153" s="19">
        <f>'1'!I149</f>
        <v>0</v>
      </c>
      <c r="L153" s="19">
        <f>'1'!J149</f>
        <v>0</v>
      </c>
    </row>
    <row r="154" spans="1:12" ht="14.5" hidden="1" customHeight="1" thickBot="1">
      <c r="A154" s="42" t="s">
        <v>136</v>
      </c>
      <c r="B154" s="59"/>
      <c r="C154" s="34" t="s">
        <v>151</v>
      </c>
      <c r="D154" s="39">
        <f>'1'!B150</f>
        <v>0</v>
      </c>
      <c r="E154" s="39">
        <f>'1'!C150</f>
        <v>0</v>
      </c>
      <c r="F154" s="39">
        <f>'1'!D150</f>
        <v>0</v>
      </c>
      <c r="G154" s="39">
        <f>'1'!E150</f>
        <v>0</v>
      </c>
      <c r="H154" s="39">
        <f>'1'!F150</f>
        <v>0</v>
      </c>
      <c r="I154" s="39">
        <f>'1'!G150</f>
        <v>0</v>
      </c>
      <c r="J154" s="39">
        <f>'1'!H150</f>
        <v>0</v>
      </c>
      <c r="K154" s="39">
        <f>'1'!I150</f>
        <v>0</v>
      </c>
      <c r="L154" s="39">
        <f>'1'!J150</f>
        <v>0</v>
      </c>
    </row>
    <row r="155" spans="1:12" ht="14.5" hidden="1" customHeight="1" thickBot="1">
      <c r="A155" s="42" t="s">
        <v>152</v>
      </c>
      <c r="B155" s="58" t="s">
        <v>152</v>
      </c>
      <c r="C155" s="32" t="s">
        <v>153</v>
      </c>
      <c r="D155" s="21">
        <f>'1'!B211</f>
        <v>0</v>
      </c>
      <c r="E155" s="21">
        <f>'1'!C211</f>
        <v>0</v>
      </c>
      <c r="F155" s="21">
        <f>'1'!D211</f>
        <v>0</v>
      </c>
      <c r="G155" s="21">
        <f>'1'!E211</f>
        <v>0</v>
      </c>
      <c r="H155" s="21">
        <f>'1'!F211</f>
        <v>0</v>
      </c>
      <c r="I155" s="21">
        <f>'1'!G211</f>
        <v>0</v>
      </c>
      <c r="J155" s="21">
        <f>'1'!H211</f>
        <v>0</v>
      </c>
      <c r="K155" s="21">
        <f>'1'!I211</f>
        <v>0</v>
      </c>
      <c r="L155" s="21">
        <f>'1'!J211</f>
        <v>0</v>
      </c>
    </row>
    <row r="156" spans="1:12" ht="14.5" hidden="1" customHeight="1">
      <c r="A156" s="42" t="s">
        <v>152</v>
      </c>
      <c r="B156" s="56"/>
      <c r="C156" s="33" t="s">
        <v>154</v>
      </c>
      <c r="D156" s="19">
        <f>'1'!B212</f>
        <v>0</v>
      </c>
      <c r="E156" s="19">
        <f>'1'!C212</f>
        <v>0</v>
      </c>
      <c r="F156" s="19">
        <f>'1'!D212</f>
        <v>0</v>
      </c>
      <c r="G156" s="19">
        <f>'1'!E212</f>
        <v>0</v>
      </c>
      <c r="H156" s="19">
        <f>'1'!F212</f>
        <v>0</v>
      </c>
      <c r="I156" s="19">
        <f>'1'!G212</f>
        <v>0</v>
      </c>
      <c r="J156" s="19">
        <f>'1'!H212</f>
        <v>0</v>
      </c>
      <c r="K156" s="19">
        <f>'1'!I212</f>
        <v>0</v>
      </c>
      <c r="L156" s="19">
        <f>'1'!J212</f>
        <v>0</v>
      </c>
    </row>
    <row r="157" spans="1:12" ht="14.5" hidden="1" customHeight="1">
      <c r="A157" s="42" t="s">
        <v>152</v>
      </c>
      <c r="B157" s="56"/>
      <c r="C157" s="33" t="s">
        <v>155</v>
      </c>
      <c r="D157" s="19">
        <f>'1'!B213</f>
        <v>0</v>
      </c>
      <c r="E157" s="19">
        <f>'1'!C213</f>
        <v>0</v>
      </c>
      <c r="F157" s="19">
        <f>'1'!D213</f>
        <v>0</v>
      </c>
      <c r="G157" s="19">
        <f>'1'!E213</f>
        <v>0</v>
      </c>
      <c r="H157" s="19">
        <f>'1'!F213</f>
        <v>0</v>
      </c>
      <c r="I157" s="19">
        <f>'1'!G213</f>
        <v>0</v>
      </c>
      <c r="J157" s="19">
        <f>'1'!H213</f>
        <v>0</v>
      </c>
      <c r="K157" s="19">
        <f>'1'!I213</f>
        <v>0</v>
      </c>
      <c r="L157" s="19">
        <f>'1'!J213</f>
        <v>0</v>
      </c>
    </row>
    <row r="158" spans="1:12" ht="14.5" hidden="1" customHeight="1">
      <c r="A158" s="42" t="s">
        <v>152</v>
      </c>
      <c r="B158" s="56"/>
      <c r="C158" s="33" t="s">
        <v>156</v>
      </c>
      <c r="D158" s="19">
        <f>'1'!B214</f>
        <v>0</v>
      </c>
      <c r="E158" s="19">
        <f>'1'!C214</f>
        <v>0</v>
      </c>
      <c r="F158" s="19">
        <f>'1'!D214</f>
        <v>0</v>
      </c>
      <c r="G158" s="19">
        <f>'1'!E214</f>
        <v>0</v>
      </c>
      <c r="H158" s="19">
        <f>'1'!F214</f>
        <v>0</v>
      </c>
      <c r="I158" s="19">
        <f>'1'!G214</f>
        <v>0</v>
      </c>
      <c r="J158" s="19">
        <f>'1'!H214</f>
        <v>0</v>
      </c>
      <c r="K158" s="19">
        <f>'1'!I214</f>
        <v>0</v>
      </c>
      <c r="L158" s="19">
        <f>'1'!J214</f>
        <v>0</v>
      </c>
    </row>
    <row r="159" spans="1:12" ht="14.5" hidden="1" customHeight="1">
      <c r="A159" s="42" t="s">
        <v>152</v>
      </c>
      <c r="B159" s="56"/>
      <c r="C159" s="33" t="s">
        <v>157</v>
      </c>
      <c r="D159" s="19">
        <f>'1'!B215</f>
        <v>0</v>
      </c>
      <c r="E159" s="19">
        <f>'1'!C215</f>
        <v>0</v>
      </c>
      <c r="F159" s="19">
        <f>'1'!D215</f>
        <v>0</v>
      </c>
      <c r="G159" s="19">
        <f>'1'!E215</f>
        <v>0</v>
      </c>
      <c r="H159" s="19">
        <f>'1'!F215</f>
        <v>0</v>
      </c>
      <c r="I159" s="19">
        <f>'1'!G215</f>
        <v>0</v>
      </c>
      <c r="J159" s="19">
        <f>'1'!H215</f>
        <v>0</v>
      </c>
      <c r="K159" s="19">
        <f>'1'!I215</f>
        <v>0</v>
      </c>
      <c r="L159" s="19">
        <f>'1'!J215</f>
        <v>0</v>
      </c>
    </row>
    <row r="160" spans="1:12" ht="14.5" hidden="1" customHeight="1">
      <c r="A160" s="42" t="s">
        <v>152</v>
      </c>
      <c r="B160" s="56"/>
      <c r="C160" s="33" t="s">
        <v>158</v>
      </c>
      <c r="D160" s="19">
        <f>'1'!B216</f>
        <v>0</v>
      </c>
      <c r="E160" s="19">
        <f>'1'!C216</f>
        <v>0</v>
      </c>
      <c r="F160" s="19">
        <f>'1'!D216</f>
        <v>0</v>
      </c>
      <c r="G160" s="19">
        <f>'1'!E216</f>
        <v>0</v>
      </c>
      <c r="H160" s="19">
        <f>'1'!F216</f>
        <v>0</v>
      </c>
      <c r="I160" s="19">
        <f>'1'!G216</f>
        <v>0</v>
      </c>
      <c r="J160" s="19">
        <f>'1'!H216</f>
        <v>0</v>
      </c>
      <c r="K160" s="19">
        <f>'1'!I216</f>
        <v>0</v>
      </c>
      <c r="L160" s="19">
        <f>'1'!J216</f>
        <v>0</v>
      </c>
    </row>
    <row r="161" spans="1:12" ht="14.5" hidden="1" customHeight="1">
      <c r="A161" s="42" t="s">
        <v>152</v>
      </c>
      <c r="B161" s="56"/>
      <c r="C161" s="33" t="s">
        <v>159</v>
      </c>
      <c r="D161" s="19">
        <f>'1'!B217</f>
        <v>0</v>
      </c>
      <c r="E161" s="19">
        <f>'1'!C217</f>
        <v>0</v>
      </c>
      <c r="F161" s="19">
        <f>'1'!D217</f>
        <v>0</v>
      </c>
      <c r="G161" s="19">
        <f>'1'!E217</f>
        <v>0</v>
      </c>
      <c r="H161" s="19">
        <f>'1'!F217</f>
        <v>0</v>
      </c>
      <c r="I161" s="19">
        <f>'1'!G217</f>
        <v>0</v>
      </c>
      <c r="J161" s="19">
        <f>'1'!H217</f>
        <v>0</v>
      </c>
      <c r="K161" s="19">
        <f>'1'!I217</f>
        <v>0</v>
      </c>
      <c r="L161" s="19">
        <f>'1'!J217</f>
        <v>0</v>
      </c>
    </row>
    <row r="162" spans="1:12" ht="14.5" hidden="1" customHeight="1">
      <c r="A162" s="42" t="s">
        <v>152</v>
      </c>
      <c r="B162" s="56"/>
      <c r="C162" s="33" t="s">
        <v>160</v>
      </c>
      <c r="D162" s="19">
        <f>'1'!B218</f>
        <v>0</v>
      </c>
      <c r="E162" s="19">
        <f>'1'!C218</f>
        <v>0</v>
      </c>
      <c r="F162" s="19">
        <f>'1'!D218</f>
        <v>0</v>
      </c>
      <c r="G162" s="19">
        <f>'1'!E218</f>
        <v>0</v>
      </c>
      <c r="H162" s="19">
        <f>'1'!F218</f>
        <v>0</v>
      </c>
      <c r="I162" s="19">
        <f>'1'!G218</f>
        <v>0</v>
      </c>
      <c r="J162" s="19">
        <f>'1'!H218</f>
        <v>0</v>
      </c>
      <c r="K162" s="19">
        <f>'1'!I218</f>
        <v>0</v>
      </c>
      <c r="L162" s="19">
        <f>'1'!J218</f>
        <v>0</v>
      </c>
    </row>
    <row r="163" spans="1:12" ht="14.5" hidden="1" customHeight="1">
      <c r="A163" s="42" t="s">
        <v>152</v>
      </c>
      <c r="B163" s="56"/>
      <c r="C163" s="33" t="s">
        <v>161</v>
      </c>
      <c r="D163" s="19">
        <f>'1'!B219</f>
        <v>0</v>
      </c>
      <c r="E163" s="19">
        <f>'1'!C219</f>
        <v>0</v>
      </c>
      <c r="F163" s="19">
        <f>'1'!D219</f>
        <v>0</v>
      </c>
      <c r="G163" s="19">
        <f>'1'!E219</f>
        <v>0</v>
      </c>
      <c r="H163" s="19">
        <f>'1'!F219</f>
        <v>0</v>
      </c>
      <c r="I163" s="19">
        <f>'1'!G219</f>
        <v>0</v>
      </c>
      <c r="J163" s="19">
        <f>'1'!H219</f>
        <v>0</v>
      </c>
      <c r="K163" s="19">
        <f>'1'!I219</f>
        <v>0</v>
      </c>
      <c r="L163" s="19">
        <f>'1'!J219</f>
        <v>0</v>
      </c>
    </row>
    <row r="164" spans="1:12" ht="14.5" hidden="1" customHeight="1">
      <c r="A164" s="42" t="s">
        <v>152</v>
      </c>
      <c r="B164" s="56"/>
      <c r="C164" s="33" t="s">
        <v>162</v>
      </c>
      <c r="D164" s="19">
        <f>'1'!B220</f>
        <v>0</v>
      </c>
      <c r="E164" s="19">
        <f>'1'!C220</f>
        <v>0</v>
      </c>
      <c r="F164" s="19">
        <f>'1'!D220</f>
        <v>0</v>
      </c>
      <c r="G164" s="19">
        <f>'1'!E220</f>
        <v>0</v>
      </c>
      <c r="H164" s="19">
        <f>'1'!F220</f>
        <v>0</v>
      </c>
      <c r="I164" s="19">
        <f>'1'!G220</f>
        <v>0</v>
      </c>
      <c r="J164" s="19">
        <f>'1'!H220</f>
        <v>0</v>
      </c>
      <c r="K164" s="19">
        <f>'1'!I220</f>
        <v>0</v>
      </c>
      <c r="L164" s="19">
        <f>'1'!J220</f>
        <v>0</v>
      </c>
    </row>
    <row r="165" spans="1:12" ht="14.5" hidden="1" customHeight="1">
      <c r="A165" s="42" t="s">
        <v>152</v>
      </c>
      <c r="B165" s="56"/>
      <c r="C165" s="33" t="s">
        <v>163</v>
      </c>
      <c r="D165" s="19">
        <f>'1'!B221</f>
        <v>0</v>
      </c>
      <c r="E165" s="19">
        <f>'1'!C221</f>
        <v>0</v>
      </c>
      <c r="F165" s="19">
        <f>'1'!D221</f>
        <v>0</v>
      </c>
      <c r="G165" s="19">
        <f>'1'!E221</f>
        <v>0</v>
      </c>
      <c r="H165" s="19">
        <f>'1'!F221</f>
        <v>0</v>
      </c>
      <c r="I165" s="19">
        <f>'1'!G221</f>
        <v>0</v>
      </c>
      <c r="J165" s="19">
        <f>'1'!H221</f>
        <v>0</v>
      </c>
      <c r="K165" s="19">
        <f>'1'!I221</f>
        <v>0</v>
      </c>
      <c r="L165" s="19">
        <f>'1'!J221</f>
        <v>0</v>
      </c>
    </row>
    <row r="166" spans="1:12" ht="14.5" hidden="1" customHeight="1">
      <c r="A166" s="42" t="s">
        <v>152</v>
      </c>
      <c r="B166" s="56"/>
      <c r="C166" s="33" t="s">
        <v>164</v>
      </c>
      <c r="D166" s="19">
        <f>'1'!B222</f>
        <v>0</v>
      </c>
      <c r="E166" s="19">
        <f>'1'!C222</f>
        <v>0</v>
      </c>
      <c r="F166" s="19">
        <f>'1'!D222</f>
        <v>0</v>
      </c>
      <c r="G166" s="19">
        <f>'1'!E222</f>
        <v>0</v>
      </c>
      <c r="H166" s="19">
        <f>'1'!F222</f>
        <v>0</v>
      </c>
      <c r="I166" s="19">
        <f>'1'!G222</f>
        <v>0</v>
      </c>
      <c r="J166" s="19">
        <f>'1'!H222</f>
        <v>0</v>
      </c>
      <c r="K166" s="19">
        <f>'1'!I222</f>
        <v>0</v>
      </c>
      <c r="L166" s="19">
        <f>'1'!J222</f>
        <v>0</v>
      </c>
    </row>
    <row r="167" spans="1:12" ht="14.5" hidden="1" customHeight="1">
      <c r="A167" s="42" t="s">
        <v>152</v>
      </c>
      <c r="B167" s="56"/>
      <c r="C167" s="33" t="s">
        <v>165</v>
      </c>
      <c r="D167" s="19">
        <f>'1'!B223</f>
        <v>0</v>
      </c>
      <c r="E167" s="19">
        <f>'1'!C223</f>
        <v>0</v>
      </c>
      <c r="F167" s="19">
        <f>'1'!D223</f>
        <v>0</v>
      </c>
      <c r="G167" s="19">
        <f>'1'!E223</f>
        <v>0</v>
      </c>
      <c r="H167" s="19">
        <f>'1'!F223</f>
        <v>0</v>
      </c>
      <c r="I167" s="19">
        <f>'1'!G223</f>
        <v>0</v>
      </c>
      <c r="J167" s="19">
        <f>'1'!H223</f>
        <v>0</v>
      </c>
      <c r="K167" s="19">
        <f>'1'!I223</f>
        <v>0</v>
      </c>
      <c r="L167" s="19">
        <f>'1'!J223</f>
        <v>0</v>
      </c>
    </row>
    <row r="168" spans="1:12" ht="14.5" hidden="1" customHeight="1">
      <c r="A168" s="42" t="s">
        <v>152</v>
      </c>
      <c r="B168" s="56"/>
      <c r="C168" s="33" t="s">
        <v>166</v>
      </c>
      <c r="D168" s="19">
        <f>'1'!B224</f>
        <v>0</v>
      </c>
      <c r="E168" s="19">
        <f>'1'!C224</f>
        <v>0</v>
      </c>
      <c r="F168" s="19">
        <f>'1'!D224</f>
        <v>0</v>
      </c>
      <c r="G168" s="19">
        <f>'1'!E224</f>
        <v>0</v>
      </c>
      <c r="H168" s="19">
        <f>'1'!F224</f>
        <v>0</v>
      </c>
      <c r="I168" s="19">
        <f>'1'!G224</f>
        <v>0</v>
      </c>
      <c r="J168" s="19">
        <f>'1'!H224</f>
        <v>0</v>
      </c>
      <c r="K168" s="19">
        <f>'1'!I224</f>
        <v>0</v>
      </c>
      <c r="L168" s="19">
        <f>'1'!J224</f>
        <v>0</v>
      </c>
    </row>
    <row r="169" spans="1:12" ht="14.5" hidden="1" customHeight="1">
      <c r="A169" s="42" t="s">
        <v>152</v>
      </c>
      <c r="B169" s="56"/>
      <c r="C169" s="33" t="s">
        <v>167</v>
      </c>
      <c r="D169" s="19">
        <f>'1'!B225</f>
        <v>0</v>
      </c>
      <c r="E169" s="19">
        <f>'1'!C225</f>
        <v>0</v>
      </c>
      <c r="F169" s="19">
        <f>'1'!D225</f>
        <v>0</v>
      </c>
      <c r="G169" s="19">
        <f>'1'!E225</f>
        <v>0</v>
      </c>
      <c r="H169" s="19">
        <f>'1'!F225</f>
        <v>0</v>
      </c>
      <c r="I169" s="19">
        <f>'1'!G225</f>
        <v>0</v>
      </c>
      <c r="J169" s="19">
        <f>'1'!H225</f>
        <v>0</v>
      </c>
      <c r="K169" s="19">
        <f>'1'!I225</f>
        <v>0</v>
      </c>
      <c r="L169" s="19">
        <f>'1'!J225</f>
        <v>0</v>
      </c>
    </row>
    <row r="170" spans="1:12" ht="14.5" hidden="1" customHeight="1">
      <c r="A170" s="42" t="s">
        <v>152</v>
      </c>
      <c r="B170" s="56"/>
      <c r="C170" s="33" t="s">
        <v>168</v>
      </c>
      <c r="D170" s="19">
        <f>'1'!B226</f>
        <v>0</v>
      </c>
      <c r="E170" s="19">
        <f>'1'!C226</f>
        <v>0</v>
      </c>
      <c r="F170" s="19">
        <f>'1'!D226</f>
        <v>0</v>
      </c>
      <c r="G170" s="19">
        <f>'1'!E226</f>
        <v>0</v>
      </c>
      <c r="H170" s="19">
        <f>'1'!F226</f>
        <v>0</v>
      </c>
      <c r="I170" s="19">
        <f>'1'!G226</f>
        <v>0</v>
      </c>
      <c r="J170" s="19">
        <f>'1'!H226</f>
        <v>0</v>
      </c>
      <c r="K170" s="19">
        <f>'1'!I226</f>
        <v>0</v>
      </c>
      <c r="L170" s="19">
        <f>'1'!J226</f>
        <v>0</v>
      </c>
    </row>
    <row r="171" spans="1:12" ht="14.5" hidden="1" customHeight="1">
      <c r="A171" s="42" t="s">
        <v>152</v>
      </c>
      <c r="B171" s="56"/>
      <c r="C171" s="33" t="s">
        <v>169</v>
      </c>
      <c r="D171" s="19">
        <f>'1'!B227</f>
        <v>0</v>
      </c>
      <c r="E171" s="19">
        <f>'1'!C227</f>
        <v>0</v>
      </c>
      <c r="F171" s="19">
        <f>'1'!D227</f>
        <v>0</v>
      </c>
      <c r="G171" s="19">
        <f>'1'!E227</f>
        <v>0</v>
      </c>
      <c r="H171" s="19">
        <f>'1'!F227</f>
        <v>0</v>
      </c>
      <c r="I171" s="19">
        <f>'1'!G227</f>
        <v>0</v>
      </c>
      <c r="J171" s="19">
        <f>'1'!H227</f>
        <v>0</v>
      </c>
      <c r="K171" s="19">
        <f>'1'!I227</f>
        <v>0</v>
      </c>
      <c r="L171" s="19">
        <f>'1'!J227</f>
        <v>0</v>
      </c>
    </row>
    <row r="172" spans="1:12" ht="14.5" hidden="1" customHeight="1">
      <c r="A172" s="42" t="s">
        <v>152</v>
      </c>
      <c r="B172" s="56"/>
      <c r="C172" s="33" t="s">
        <v>170</v>
      </c>
      <c r="D172" s="19">
        <f>'1'!B228</f>
        <v>0</v>
      </c>
      <c r="E172" s="19">
        <f>'1'!C228</f>
        <v>0</v>
      </c>
      <c r="F172" s="19">
        <f>'1'!D228</f>
        <v>0</v>
      </c>
      <c r="G172" s="19">
        <f>'1'!E228</f>
        <v>0</v>
      </c>
      <c r="H172" s="19">
        <f>'1'!F228</f>
        <v>0</v>
      </c>
      <c r="I172" s="19">
        <f>'1'!G228</f>
        <v>0</v>
      </c>
      <c r="J172" s="19">
        <f>'1'!H228</f>
        <v>0</v>
      </c>
      <c r="K172" s="19">
        <f>'1'!I228</f>
        <v>0</v>
      </c>
      <c r="L172" s="19">
        <f>'1'!J228</f>
        <v>0</v>
      </c>
    </row>
    <row r="173" spans="1:12" ht="14.5" hidden="1" customHeight="1">
      <c r="A173" s="42" t="s">
        <v>152</v>
      </c>
      <c r="B173" s="56"/>
      <c r="C173" s="33" t="s">
        <v>171</v>
      </c>
      <c r="D173" s="19">
        <f>'1'!B229</f>
        <v>0</v>
      </c>
      <c r="E173" s="19">
        <f>'1'!C229</f>
        <v>0</v>
      </c>
      <c r="F173" s="19">
        <f>'1'!D229</f>
        <v>0</v>
      </c>
      <c r="G173" s="19">
        <f>'1'!E229</f>
        <v>0</v>
      </c>
      <c r="H173" s="19">
        <f>'1'!F229</f>
        <v>0</v>
      </c>
      <c r="I173" s="19">
        <f>'1'!G229</f>
        <v>0</v>
      </c>
      <c r="J173" s="19">
        <f>'1'!H229</f>
        <v>0</v>
      </c>
      <c r="K173" s="19">
        <f>'1'!I229</f>
        <v>0</v>
      </c>
      <c r="L173" s="19">
        <f>'1'!J229</f>
        <v>0</v>
      </c>
    </row>
    <row r="174" spans="1:12" ht="14.5" hidden="1" customHeight="1">
      <c r="A174" s="42" t="s">
        <v>152</v>
      </c>
      <c r="B174" s="56"/>
      <c r="C174" s="33" t="s">
        <v>172</v>
      </c>
      <c r="D174" s="19">
        <f>'1'!B230</f>
        <v>0</v>
      </c>
      <c r="E174" s="19">
        <f>'1'!C230</f>
        <v>0</v>
      </c>
      <c r="F174" s="19">
        <f>'1'!D230</f>
        <v>0</v>
      </c>
      <c r="G174" s="19">
        <f>'1'!E230</f>
        <v>0</v>
      </c>
      <c r="H174" s="19">
        <f>'1'!F230</f>
        <v>0</v>
      </c>
      <c r="I174" s="19">
        <f>'1'!G230</f>
        <v>0</v>
      </c>
      <c r="J174" s="19">
        <f>'1'!H230</f>
        <v>0</v>
      </c>
      <c r="K174" s="19">
        <f>'1'!I230</f>
        <v>0</v>
      </c>
      <c r="L174" s="19">
        <f>'1'!J230</f>
        <v>0</v>
      </c>
    </row>
    <row r="175" spans="1:12" ht="14.5" hidden="1" customHeight="1">
      <c r="A175" s="42" t="s">
        <v>152</v>
      </c>
      <c r="B175" s="56"/>
      <c r="C175" s="33" t="s">
        <v>173</v>
      </c>
      <c r="D175" s="19">
        <f>'1'!B231</f>
        <v>0</v>
      </c>
      <c r="E175" s="19">
        <f>'1'!C231</f>
        <v>0</v>
      </c>
      <c r="F175" s="19">
        <f>'1'!D231</f>
        <v>0</v>
      </c>
      <c r="G175" s="19">
        <f>'1'!E231</f>
        <v>0</v>
      </c>
      <c r="H175" s="19">
        <f>'1'!F231</f>
        <v>0</v>
      </c>
      <c r="I175" s="19">
        <f>'1'!G231</f>
        <v>0</v>
      </c>
      <c r="J175" s="19">
        <f>'1'!H231</f>
        <v>0</v>
      </c>
      <c r="K175" s="19">
        <f>'1'!I231</f>
        <v>0</v>
      </c>
      <c r="L175" s="19">
        <f>'1'!J231</f>
        <v>0</v>
      </c>
    </row>
    <row r="176" spans="1:12" ht="14.5" hidden="1" customHeight="1">
      <c r="A176" s="42" t="s">
        <v>152</v>
      </c>
      <c r="B176" s="56"/>
      <c r="C176" s="33" t="s">
        <v>174</v>
      </c>
      <c r="D176" s="19">
        <f>'1'!B232</f>
        <v>0</v>
      </c>
      <c r="E176" s="19">
        <f>'1'!C232</f>
        <v>0</v>
      </c>
      <c r="F176" s="19">
        <f>'1'!D232</f>
        <v>0</v>
      </c>
      <c r="G176" s="19">
        <f>'1'!E232</f>
        <v>0</v>
      </c>
      <c r="H176" s="19">
        <f>'1'!F232</f>
        <v>0</v>
      </c>
      <c r="I176" s="19">
        <f>'1'!G232</f>
        <v>0</v>
      </c>
      <c r="J176" s="19">
        <f>'1'!H232</f>
        <v>0</v>
      </c>
      <c r="K176" s="19">
        <f>'1'!I232</f>
        <v>0</v>
      </c>
      <c r="L176" s="19">
        <f>'1'!J232</f>
        <v>0</v>
      </c>
    </row>
    <row r="177" spans="1:12" ht="14.5" hidden="1" customHeight="1">
      <c r="A177" s="42" t="s">
        <v>152</v>
      </c>
      <c r="B177" s="56"/>
      <c r="C177" s="33" t="s">
        <v>175</v>
      </c>
      <c r="D177" s="19">
        <f>'1'!B233</f>
        <v>0</v>
      </c>
      <c r="E177" s="19">
        <f>'1'!C233</f>
        <v>0</v>
      </c>
      <c r="F177" s="19">
        <f>'1'!D233</f>
        <v>0</v>
      </c>
      <c r="G177" s="19">
        <f>'1'!E233</f>
        <v>0</v>
      </c>
      <c r="H177" s="19">
        <f>'1'!F233</f>
        <v>0</v>
      </c>
      <c r="I177" s="19">
        <f>'1'!G233</f>
        <v>0</v>
      </c>
      <c r="J177" s="19">
        <f>'1'!H233</f>
        <v>0</v>
      </c>
      <c r="K177" s="19">
        <f>'1'!I233</f>
        <v>0</v>
      </c>
      <c r="L177" s="19">
        <f>'1'!J233</f>
        <v>0</v>
      </c>
    </row>
    <row r="178" spans="1:12" ht="14.5" hidden="1" customHeight="1">
      <c r="A178" s="42" t="s">
        <v>152</v>
      </c>
      <c r="B178" s="56"/>
      <c r="C178" s="33" t="s">
        <v>176</v>
      </c>
      <c r="D178" s="19">
        <f>'1'!B234</f>
        <v>0</v>
      </c>
      <c r="E178" s="19">
        <f>'1'!C234</f>
        <v>0</v>
      </c>
      <c r="F178" s="19">
        <f>'1'!D234</f>
        <v>0</v>
      </c>
      <c r="G178" s="19">
        <f>'1'!E234</f>
        <v>0</v>
      </c>
      <c r="H178" s="19">
        <f>'1'!F234</f>
        <v>0</v>
      </c>
      <c r="I178" s="19">
        <f>'1'!G234</f>
        <v>0</v>
      </c>
      <c r="J178" s="19">
        <f>'1'!H234</f>
        <v>0</v>
      </c>
      <c r="K178" s="19">
        <f>'1'!I234</f>
        <v>0</v>
      </c>
      <c r="L178" s="19">
        <f>'1'!J234</f>
        <v>0</v>
      </c>
    </row>
    <row r="179" spans="1:12" ht="14.5" hidden="1" customHeight="1" thickBot="1">
      <c r="A179" s="42" t="s">
        <v>152</v>
      </c>
      <c r="B179" s="59"/>
      <c r="C179" s="34" t="s">
        <v>85</v>
      </c>
      <c r="D179" s="39">
        <f>'1'!B235</f>
        <v>0</v>
      </c>
      <c r="E179" s="39">
        <f>'1'!C235</f>
        <v>0</v>
      </c>
      <c r="F179" s="39">
        <f>'1'!D235</f>
        <v>0</v>
      </c>
      <c r="G179" s="39">
        <f>'1'!E235</f>
        <v>0</v>
      </c>
      <c r="H179" s="39">
        <f>'1'!F235</f>
        <v>0</v>
      </c>
      <c r="I179" s="39">
        <f>'1'!G235</f>
        <v>0</v>
      </c>
      <c r="J179" s="39">
        <f>'1'!H235</f>
        <v>0</v>
      </c>
      <c r="K179" s="39">
        <f>'1'!I235</f>
        <v>0</v>
      </c>
      <c r="L179" s="39">
        <f>'1'!J235</f>
        <v>0</v>
      </c>
    </row>
    <row r="180" spans="1:12" ht="14.5" hidden="1" customHeight="1" thickBot="1">
      <c r="A180" s="42" t="s">
        <v>177</v>
      </c>
      <c r="B180" s="58" t="s">
        <v>177</v>
      </c>
      <c r="C180" s="32" t="s">
        <v>178</v>
      </c>
      <c r="D180" s="21">
        <f>'1'!B176</f>
        <v>0</v>
      </c>
      <c r="E180" s="21">
        <f>'1'!C176</f>
        <v>0</v>
      </c>
      <c r="F180" s="21">
        <f>'1'!D176</f>
        <v>0</v>
      </c>
      <c r="G180" s="21">
        <f>'1'!E176</f>
        <v>0</v>
      </c>
      <c r="H180" s="21">
        <f>'1'!F176</f>
        <v>0</v>
      </c>
      <c r="I180" s="21">
        <f>'1'!G176</f>
        <v>0</v>
      </c>
      <c r="J180" s="21">
        <f>'1'!H176</f>
        <v>0</v>
      </c>
      <c r="K180" s="21">
        <f>'1'!I176</f>
        <v>0</v>
      </c>
      <c r="L180" s="21">
        <f>'1'!J176</f>
        <v>0</v>
      </c>
    </row>
    <row r="181" spans="1:12" ht="14.5" hidden="1" customHeight="1">
      <c r="A181" s="42" t="s">
        <v>177</v>
      </c>
      <c r="B181" s="56"/>
      <c r="C181" s="33" t="s">
        <v>179</v>
      </c>
      <c r="D181" s="19">
        <f>'1'!B177</f>
        <v>0</v>
      </c>
      <c r="E181" s="19">
        <f>'1'!C177</f>
        <v>0</v>
      </c>
      <c r="F181" s="19">
        <f>'1'!D177</f>
        <v>0</v>
      </c>
      <c r="G181" s="19">
        <f>'1'!E177</f>
        <v>0</v>
      </c>
      <c r="H181" s="19">
        <f>'1'!F177</f>
        <v>0</v>
      </c>
      <c r="I181" s="19">
        <f>'1'!G177</f>
        <v>0</v>
      </c>
      <c r="J181" s="19">
        <f>'1'!H177</f>
        <v>0</v>
      </c>
      <c r="K181" s="19">
        <f>'1'!I177</f>
        <v>0</v>
      </c>
      <c r="L181" s="19">
        <f>'1'!J177</f>
        <v>0</v>
      </c>
    </row>
    <row r="182" spans="1:12" ht="14.5" hidden="1" customHeight="1">
      <c r="A182" s="42" t="s">
        <v>177</v>
      </c>
      <c r="B182" s="56"/>
      <c r="C182" s="33" t="s">
        <v>180</v>
      </c>
      <c r="D182" s="19">
        <f>'1'!B178</f>
        <v>0</v>
      </c>
      <c r="E182" s="19">
        <f>'1'!C178</f>
        <v>0</v>
      </c>
      <c r="F182" s="19">
        <f>'1'!D178</f>
        <v>0</v>
      </c>
      <c r="G182" s="19">
        <f>'1'!E178</f>
        <v>0</v>
      </c>
      <c r="H182" s="19">
        <f>'1'!F178</f>
        <v>0</v>
      </c>
      <c r="I182" s="19">
        <f>'1'!G178</f>
        <v>0</v>
      </c>
      <c r="J182" s="19">
        <f>'1'!H178</f>
        <v>0</v>
      </c>
      <c r="K182" s="19">
        <f>'1'!I178</f>
        <v>0</v>
      </c>
      <c r="L182" s="19">
        <f>'1'!J178</f>
        <v>0</v>
      </c>
    </row>
    <row r="183" spans="1:12" ht="14.5" hidden="1" customHeight="1">
      <c r="A183" s="42" t="s">
        <v>177</v>
      </c>
      <c r="B183" s="56"/>
      <c r="C183" s="33" t="s">
        <v>181</v>
      </c>
      <c r="D183" s="19">
        <f>'1'!B179</f>
        <v>0</v>
      </c>
      <c r="E183" s="19">
        <f>'1'!C179</f>
        <v>0</v>
      </c>
      <c r="F183" s="19">
        <f>'1'!D179</f>
        <v>0</v>
      </c>
      <c r="G183" s="19">
        <f>'1'!E179</f>
        <v>0</v>
      </c>
      <c r="H183" s="19">
        <f>'1'!F179</f>
        <v>0</v>
      </c>
      <c r="I183" s="19">
        <f>'1'!G179</f>
        <v>0</v>
      </c>
      <c r="J183" s="19">
        <f>'1'!H179</f>
        <v>0</v>
      </c>
      <c r="K183" s="19">
        <f>'1'!I179</f>
        <v>0</v>
      </c>
      <c r="L183" s="19">
        <f>'1'!J179</f>
        <v>0</v>
      </c>
    </row>
    <row r="184" spans="1:12" ht="14.5" hidden="1" customHeight="1">
      <c r="A184" s="42" t="s">
        <v>177</v>
      </c>
      <c r="B184" s="56"/>
      <c r="C184" s="33" t="s">
        <v>182</v>
      </c>
      <c r="D184" s="19">
        <f>'1'!B180</f>
        <v>0</v>
      </c>
      <c r="E184" s="19">
        <f>'1'!C180</f>
        <v>0</v>
      </c>
      <c r="F184" s="19">
        <f>'1'!D180</f>
        <v>0</v>
      </c>
      <c r="G184" s="19">
        <f>'1'!E180</f>
        <v>0</v>
      </c>
      <c r="H184" s="19">
        <f>'1'!F180</f>
        <v>0</v>
      </c>
      <c r="I184" s="19">
        <f>'1'!G180</f>
        <v>0</v>
      </c>
      <c r="J184" s="19">
        <f>'1'!H180</f>
        <v>0</v>
      </c>
      <c r="K184" s="19">
        <f>'1'!I180</f>
        <v>0</v>
      </c>
      <c r="L184" s="19">
        <f>'1'!J180</f>
        <v>0</v>
      </c>
    </row>
    <row r="185" spans="1:12" ht="14.5" hidden="1" customHeight="1">
      <c r="A185" s="42" t="s">
        <v>177</v>
      </c>
      <c r="B185" s="56"/>
      <c r="C185" s="33" t="s">
        <v>183</v>
      </c>
      <c r="D185" s="19">
        <f>'1'!B181</f>
        <v>0</v>
      </c>
      <c r="E185" s="19">
        <f>'1'!C181</f>
        <v>0</v>
      </c>
      <c r="F185" s="19">
        <f>'1'!D181</f>
        <v>0</v>
      </c>
      <c r="G185" s="19">
        <f>'1'!E181</f>
        <v>0</v>
      </c>
      <c r="H185" s="19">
        <f>'1'!F181</f>
        <v>0</v>
      </c>
      <c r="I185" s="19">
        <f>'1'!G181</f>
        <v>0</v>
      </c>
      <c r="J185" s="19">
        <f>'1'!H181</f>
        <v>0</v>
      </c>
      <c r="K185" s="19">
        <f>'1'!I181</f>
        <v>0</v>
      </c>
      <c r="L185" s="19">
        <f>'1'!J181</f>
        <v>0</v>
      </c>
    </row>
    <row r="186" spans="1:12" ht="14.5" hidden="1" customHeight="1">
      <c r="A186" s="42" t="s">
        <v>177</v>
      </c>
      <c r="B186" s="56"/>
      <c r="C186" s="33" t="s">
        <v>184</v>
      </c>
      <c r="D186" s="19">
        <f>'1'!B182</f>
        <v>0</v>
      </c>
      <c r="E186" s="19">
        <f>'1'!C182</f>
        <v>0</v>
      </c>
      <c r="F186" s="19">
        <f>'1'!D182</f>
        <v>0</v>
      </c>
      <c r="G186" s="19">
        <f>'1'!E182</f>
        <v>0</v>
      </c>
      <c r="H186" s="19">
        <f>'1'!F182</f>
        <v>0</v>
      </c>
      <c r="I186" s="19">
        <f>'1'!G182</f>
        <v>0</v>
      </c>
      <c r="J186" s="19">
        <f>'1'!H182</f>
        <v>0</v>
      </c>
      <c r="K186" s="19">
        <f>'1'!I182</f>
        <v>0</v>
      </c>
      <c r="L186" s="19">
        <f>'1'!J182</f>
        <v>0</v>
      </c>
    </row>
    <row r="187" spans="1:12" ht="14.5" hidden="1" customHeight="1">
      <c r="A187" s="42" t="s">
        <v>177</v>
      </c>
      <c r="B187" s="56"/>
      <c r="C187" s="33" t="s">
        <v>185</v>
      </c>
      <c r="D187" s="19">
        <f>'1'!B183</f>
        <v>0</v>
      </c>
      <c r="E187" s="19">
        <f>'1'!C183</f>
        <v>0</v>
      </c>
      <c r="F187" s="19">
        <f>'1'!D183</f>
        <v>0</v>
      </c>
      <c r="G187" s="19">
        <f>'1'!E183</f>
        <v>0</v>
      </c>
      <c r="H187" s="19">
        <f>'1'!F183</f>
        <v>0</v>
      </c>
      <c r="I187" s="19">
        <f>'1'!G183</f>
        <v>0</v>
      </c>
      <c r="J187" s="19">
        <f>'1'!H183</f>
        <v>0</v>
      </c>
      <c r="K187" s="19">
        <f>'1'!I183</f>
        <v>0</v>
      </c>
      <c r="L187" s="19">
        <f>'1'!J183</f>
        <v>0</v>
      </c>
    </row>
    <row r="188" spans="1:12" ht="14.5" hidden="1" customHeight="1">
      <c r="A188" s="42" t="s">
        <v>177</v>
      </c>
      <c r="B188" s="56"/>
      <c r="C188" s="33" t="s">
        <v>186</v>
      </c>
      <c r="D188" s="19">
        <f>'1'!B184</f>
        <v>0</v>
      </c>
      <c r="E188" s="19">
        <f>'1'!C184</f>
        <v>0</v>
      </c>
      <c r="F188" s="19">
        <f>'1'!D184</f>
        <v>0</v>
      </c>
      <c r="G188" s="19">
        <f>'1'!E184</f>
        <v>0</v>
      </c>
      <c r="H188" s="19">
        <f>'1'!F184</f>
        <v>0</v>
      </c>
      <c r="I188" s="19">
        <f>'1'!G184</f>
        <v>0</v>
      </c>
      <c r="J188" s="19">
        <f>'1'!H184</f>
        <v>0</v>
      </c>
      <c r="K188" s="19">
        <f>'1'!I184</f>
        <v>0</v>
      </c>
      <c r="L188" s="19">
        <f>'1'!J184</f>
        <v>0</v>
      </c>
    </row>
    <row r="189" spans="1:12" ht="14.5" hidden="1" customHeight="1">
      <c r="A189" s="42" t="s">
        <v>177</v>
      </c>
      <c r="B189" s="56"/>
      <c r="C189" s="33" t="s">
        <v>187</v>
      </c>
      <c r="D189" s="19">
        <f>'1'!B185</f>
        <v>0</v>
      </c>
      <c r="E189" s="19">
        <f>'1'!C185</f>
        <v>0</v>
      </c>
      <c r="F189" s="19">
        <f>'1'!D185</f>
        <v>0</v>
      </c>
      <c r="G189" s="19">
        <f>'1'!E185</f>
        <v>0</v>
      </c>
      <c r="H189" s="19">
        <f>'1'!F185</f>
        <v>0</v>
      </c>
      <c r="I189" s="19">
        <f>'1'!G185</f>
        <v>0</v>
      </c>
      <c r="J189" s="19">
        <f>'1'!H185</f>
        <v>0</v>
      </c>
      <c r="K189" s="19">
        <f>'1'!I185</f>
        <v>0</v>
      </c>
      <c r="L189" s="19">
        <f>'1'!J185</f>
        <v>0</v>
      </c>
    </row>
    <row r="190" spans="1:12" ht="14.5" hidden="1" customHeight="1">
      <c r="A190" s="42" t="s">
        <v>177</v>
      </c>
      <c r="B190" s="56"/>
      <c r="C190" s="33" t="s">
        <v>188</v>
      </c>
      <c r="D190" s="19">
        <f>'1'!B186</f>
        <v>0</v>
      </c>
      <c r="E190" s="19">
        <f>'1'!C186</f>
        <v>0</v>
      </c>
      <c r="F190" s="19">
        <f>'1'!D186</f>
        <v>0</v>
      </c>
      <c r="G190" s="19">
        <f>'1'!E186</f>
        <v>0</v>
      </c>
      <c r="H190" s="19">
        <f>'1'!F186</f>
        <v>0</v>
      </c>
      <c r="I190" s="19">
        <f>'1'!G186</f>
        <v>0</v>
      </c>
      <c r="J190" s="19">
        <f>'1'!H186</f>
        <v>0</v>
      </c>
      <c r="K190" s="19">
        <f>'1'!I186</f>
        <v>0</v>
      </c>
      <c r="L190" s="19">
        <f>'1'!J186</f>
        <v>0</v>
      </c>
    </row>
    <row r="191" spans="1:12" ht="14.5" hidden="1" customHeight="1">
      <c r="A191" s="42" t="s">
        <v>177</v>
      </c>
      <c r="B191" s="56"/>
      <c r="C191" s="33" t="s">
        <v>189</v>
      </c>
      <c r="D191" s="19">
        <f>'1'!B187</f>
        <v>0</v>
      </c>
      <c r="E191" s="19">
        <f>'1'!C187</f>
        <v>0</v>
      </c>
      <c r="F191" s="19">
        <f>'1'!D187</f>
        <v>0</v>
      </c>
      <c r="G191" s="19">
        <f>'1'!E187</f>
        <v>0</v>
      </c>
      <c r="H191" s="19">
        <f>'1'!F187</f>
        <v>0</v>
      </c>
      <c r="I191" s="19">
        <f>'1'!G187</f>
        <v>0</v>
      </c>
      <c r="J191" s="19">
        <f>'1'!H187</f>
        <v>0</v>
      </c>
      <c r="K191" s="19">
        <f>'1'!I187</f>
        <v>0</v>
      </c>
      <c r="L191" s="19">
        <f>'1'!J187</f>
        <v>0</v>
      </c>
    </row>
    <row r="192" spans="1:12" ht="14.5" hidden="1" customHeight="1">
      <c r="A192" s="42" t="s">
        <v>177</v>
      </c>
      <c r="B192" s="56"/>
      <c r="C192" s="33" t="s">
        <v>190</v>
      </c>
      <c r="D192" s="19">
        <f>'1'!B188</f>
        <v>0</v>
      </c>
      <c r="E192" s="19">
        <f>'1'!C188</f>
        <v>0</v>
      </c>
      <c r="F192" s="19">
        <f>'1'!D188</f>
        <v>0</v>
      </c>
      <c r="G192" s="19">
        <f>'1'!E188</f>
        <v>0</v>
      </c>
      <c r="H192" s="19">
        <f>'1'!F188</f>
        <v>0</v>
      </c>
      <c r="I192" s="19">
        <f>'1'!G188</f>
        <v>0</v>
      </c>
      <c r="J192" s="19">
        <f>'1'!H188</f>
        <v>0</v>
      </c>
      <c r="K192" s="19">
        <f>'1'!I188</f>
        <v>0</v>
      </c>
      <c r="L192" s="19">
        <f>'1'!J188</f>
        <v>0</v>
      </c>
    </row>
    <row r="193" spans="1:12" ht="14.5" hidden="1" customHeight="1">
      <c r="A193" s="42" t="s">
        <v>177</v>
      </c>
      <c r="B193" s="56"/>
      <c r="C193" s="33" t="s">
        <v>191</v>
      </c>
      <c r="D193" s="19">
        <f>'1'!B189</f>
        <v>0</v>
      </c>
      <c r="E193" s="19">
        <f>'1'!C189</f>
        <v>0</v>
      </c>
      <c r="F193" s="19">
        <f>'1'!D189</f>
        <v>0</v>
      </c>
      <c r="G193" s="19">
        <f>'1'!E189</f>
        <v>0</v>
      </c>
      <c r="H193" s="19">
        <f>'1'!F189</f>
        <v>0</v>
      </c>
      <c r="I193" s="19">
        <f>'1'!G189</f>
        <v>0</v>
      </c>
      <c r="J193" s="19">
        <f>'1'!H189</f>
        <v>0</v>
      </c>
      <c r="K193" s="19">
        <f>'1'!I189</f>
        <v>0</v>
      </c>
      <c r="L193" s="19">
        <f>'1'!J189</f>
        <v>0</v>
      </c>
    </row>
    <row r="194" spans="1:12" ht="14.5" hidden="1" customHeight="1">
      <c r="A194" s="42" t="s">
        <v>177</v>
      </c>
      <c r="B194" s="56"/>
      <c r="C194" s="33" t="s">
        <v>192</v>
      </c>
      <c r="D194" s="19">
        <f>'1'!B190</f>
        <v>0</v>
      </c>
      <c r="E194" s="19">
        <f>'1'!C190</f>
        <v>0</v>
      </c>
      <c r="F194" s="19">
        <f>'1'!D190</f>
        <v>0</v>
      </c>
      <c r="G194" s="19">
        <f>'1'!E190</f>
        <v>0</v>
      </c>
      <c r="H194" s="19">
        <f>'1'!F190</f>
        <v>0</v>
      </c>
      <c r="I194" s="19">
        <f>'1'!G190</f>
        <v>0</v>
      </c>
      <c r="J194" s="19">
        <f>'1'!H190</f>
        <v>0</v>
      </c>
      <c r="K194" s="19">
        <f>'1'!I190</f>
        <v>0</v>
      </c>
      <c r="L194" s="19">
        <f>'1'!J190</f>
        <v>0</v>
      </c>
    </row>
    <row r="195" spans="1:12" ht="14.5" hidden="1" customHeight="1">
      <c r="A195" s="42" t="s">
        <v>177</v>
      </c>
      <c r="B195" s="56"/>
      <c r="C195" s="33" t="s">
        <v>193</v>
      </c>
      <c r="D195" s="19">
        <f>'1'!B191</f>
        <v>0</v>
      </c>
      <c r="E195" s="19">
        <f>'1'!C191</f>
        <v>0</v>
      </c>
      <c r="F195" s="19">
        <f>'1'!D191</f>
        <v>0</v>
      </c>
      <c r="G195" s="19">
        <f>'1'!E191</f>
        <v>0</v>
      </c>
      <c r="H195" s="19">
        <f>'1'!F191</f>
        <v>0</v>
      </c>
      <c r="I195" s="19">
        <f>'1'!G191</f>
        <v>0</v>
      </c>
      <c r="J195" s="19">
        <f>'1'!H191</f>
        <v>0</v>
      </c>
      <c r="K195" s="19">
        <f>'1'!I191</f>
        <v>0</v>
      </c>
      <c r="L195" s="19">
        <f>'1'!J191</f>
        <v>0</v>
      </c>
    </row>
    <row r="196" spans="1:12" ht="14.5" hidden="1" customHeight="1">
      <c r="A196" s="42" t="s">
        <v>177</v>
      </c>
      <c r="B196" s="56"/>
      <c r="C196" s="33" t="s">
        <v>194</v>
      </c>
      <c r="D196" s="19">
        <f>'1'!B192</f>
        <v>0</v>
      </c>
      <c r="E196" s="19">
        <f>'1'!C192</f>
        <v>0</v>
      </c>
      <c r="F196" s="19">
        <f>'1'!D192</f>
        <v>0</v>
      </c>
      <c r="G196" s="19">
        <f>'1'!E192</f>
        <v>0</v>
      </c>
      <c r="H196" s="19">
        <f>'1'!F192</f>
        <v>0</v>
      </c>
      <c r="I196" s="19">
        <f>'1'!G192</f>
        <v>0</v>
      </c>
      <c r="J196" s="19">
        <f>'1'!H192</f>
        <v>0</v>
      </c>
      <c r="K196" s="19">
        <f>'1'!I192</f>
        <v>0</v>
      </c>
      <c r="L196" s="19">
        <f>'1'!J192</f>
        <v>0</v>
      </c>
    </row>
    <row r="197" spans="1:12" ht="14.5" hidden="1" customHeight="1">
      <c r="A197" s="42" t="s">
        <v>177</v>
      </c>
      <c r="B197" s="56"/>
      <c r="C197" s="33" t="s">
        <v>195</v>
      </c>
      <c r="D197" s="19">
        <f>'1'!B193</f>
        <v>0</v>
      </c>
      <c r="E197" s="19">
        <f>'1'!C193</f>
        <v>0</v>
      </c>
      <c r="F197" s="19">
        <f>'1'!D193</f>
        <v>0</v>
      </c>
      <c r="G197" s="19">
        <f>'1'!E193</f>
        <v>0</v>
      </c>
      <c r="H197" s="19">
        <f>'1'!F193</f>
        <v>0</v>
      </c>
      <c r="I197" s="19">
        <f>'1'!G193</f>
        <v>0</v>
      </c>
      <c r="J197" s="19">
        <f>'1'!H193</f>
        <v>0</v>
      </c>
      <c r="K197" s="19">
        <f>'1'!I193</f>
        <v>0</v>
      </c>
      <c r="L197" s="19">
        <f>'1'!J193</f>
        <v>0</v>
      </c>
    </row>
    <row r="198" spans="1:12" ht="14.5" hidden="1" customHeight="1">
      <c r="A198" s="42" t="s">
        <v>177</v>
      </c>
      <c r="B198" s="56"/>
      <c r="C198" s="33" t="s">
        <v>196</v>
      </c>
      <c r="D198" s="19">
        <f>'1'!B194</f>
        <v>0</v>
      </c>
      <c r="E198" s="19">
        <f>'1'!C194</f>
        <v>0</v>
      </c>
      <c r="F198" s="19">
        <f>'1'!D194</f>
        <v>0</v>
      </c>
      <c r="G198" s="19">
        <f>'1'!E194</f>
        <v>0</v>
      </c>
      <c r="H198" s="19">
        <f>'1'!F194</f>
        <v>0</v>
      </c>
      <c r="I198" s="19">
        <f>'1'!G194</f>
        <v>0</v>
      </c>
      <c r="J198" s="19">
        <f>'1'!H194</f>
        <v>0</v>
      </c>
      <c r="K198" s="19">
        <f>'1'!I194</f>
        <v>0</v>
      </c>
      <c r="L198" s="19">
        <f>'1'!J194</f>
        <v>0</v>
      </c>
    </row>
    <row r="199" spans="1:12" ht="14.5" hidden="1" customHeight="1">
      <c r="A199" s="42" t="s">
        <v>177</v>
      </c>
      <c r="B199" s="56"/>
      <c r="C199" s="33" t="s">
        <v>197</v>
      </c>
      <c r="D199" s="19">
        <f>'1'!B195</f>
        <v>0</v>
      </c>
      <c r="E199" s="19">
        <f>'1'!C195</f>
        <v>0</v>
      </c>
      <c r="F199" s="19">
        <f>'1'!D195</f>
        <v>0</v>
      </c>
      <c r="G199" s="19">
        <f>'1'!E195</f>
        <v>0</v>
      </c>
      <c r="H199" s="19">
        <f>'1'!F195</f>
        <v>0</v>
      </c>
      <c r="I199" s="19">
        <f>'1'!G195</f>
        <v>0</v>
      </c>
      <c r="J199" s="19">
        <f>'1'!H195</f>
        <v>0</v>
      </c>
      <c r="K199" s="19">
        <f>'1'!I195</f>
        <v>0</v>
      </c>
      <c r="L199" s="19">
        <f>'1'!J195</f>
        <v>0</v>
      </c>
    </row>
    <row r="200" spans="1:12" ht="14.5" hidden="1" customHeight="1">
      <c r="A200" s="42" t="s">
        <v>177</v>
      </c>
      <c r="B200" s="56"/>
      <c r="C200" s="33" t="s">
        <v>198</v>
      </c>
      <c r="D200" s="19">
        <f>'1'!B196</f>
        <v>0</v>
      </c>
      <c r="E200" s="19">
        <f>'1'!C196</f>
        <v>0</v>
      </c>
      <c r="F200" s="19">
        <f>'1'!D196</f>
        <v>0</v>
      </c>
      <c r="G200" s="19">
        <f>'1'!E196</f>
        <v>0</v>
      </c>
      <c r="H200" s="19">
        <f>'1'!F196</f>
        <v>0</v>
      </c>
      <c r="I200" s="19">
        <f>'1'!G196</f>
        <v>0</v>
      </c>
      <c r="J200" s="19">
        <f>'1'!H196</f>
        <v>0</v>
      </c>
      <c r="K200" s="19">
        <f>'1'!I196</f>
        <v>0</v>
      </c>
      <c r="L200" s="19">
        <f>'1'!J196</f>
        <v>0</v>
      </c>
    </row>
    <row r="201" spans="1:12" ht="14.5" hidden="1" customHeight="1">
      <c r="A201" s="42" t="s">
        <v>177</v>
      </c>
      <c r="B201" s="56"/>
      <c r="C201" s="33" t="s">
        <v>199</v>
      </c>
      <c r="D201" s="19">
        <f>'1'!B197</f>
        <v>0</v>
      </c>
      <c r="E201" s="19">
        <f>'1'!C197</f>
        <v>0</v>
      </c>
      <c r="F201" s="19">
        <f>'1'!D197</f>
        <v>0</v>
      </c>
      <c r="G201" s="19">
        <f>'1'!E197</f>
        <v>0</v>
      </c>
      <c r="H201" s="19">
        <f>'1'!F197</f>
        <v>0</v>
      </c>
      <c r="I201" s="19">
        <f>'1'!G197</f>
        <v>0</v>
      </c>
      <c r="J201" s="19">
        <f>'1'!H197</f>
        <v>0</v>
      </c>
      <c r="K201" s="19">
        <f>'1'!I197</f>
        <v>0</v>
      </c>
      <c r="L201" s="19">
        <f>'1'!J197</f>
        <v>0</v>
      </c>
    </row>
    <row r="202" spans="1:12" ht="14.5" hidden="1" customHeight="1">
      <c r="A202" s="42" t="s">
        <v>177</v>
      </c>
      <c r="B202" s="56"/>
      <c r="C202" s="33" t="s">
        <v>200</v>
      </c>
      <c r="D202" s="19">
        <f>'1'!B198</f>
        <v>0</v>
      </c>
      <c r="E202" s="19">
        <f>'1'!C198</f>
        <v>0</v>
      </c>
      <c r="F202" s="19">
        <f>'1'!D198</f>
        <v>0</v>
      </c>
      <c r="G202" s="19">
        <f>'1'!E198</f>
        <v>0</v>
      </c>
      <c r="H202" s="19">
        <f>'1'!F198</f>
        <v>0</v>
      </c>
      <c r="I202" s="19">
        <f>'1'!G198</f>
        <v>0</v>
      </c>
      <c r="J202" s="19">
        <f>'1'!H198</f>
        <v>0</v>
      </c>
      <c r="K202" s="19">
        <f>'1'!I198</f>
        <v>0</v>
      </c>
      <c r="L202" s="19">
        <f>'1'!J198</f>
        <v>0</v>
      </c>
    </row>
    <row r="203" spans="1:12" ht="14.5" hidden="1" customHeight="1">
      <c r="A203" s="42" t="s">
        <v>177</v>
      </c>
      <c r="B203" s="56"/>
      <c r="C203" s="33" t="s">
        <v>201</v>
      </c>
      <c r="D203" s="19">
        <f>'1'!B199</f>
        <v>0</v>
      </c>
      <c r="E203" s="19">
        <f>'1'!C199</f>
        <v>0</v>
      </c>
      <c r="F203" s="19">
        <f>'1'!D199</f>
        <v>0</v>
      </c>
      <c r="G203" s="19">
        <f>'1'!E199</f>
        <v>0</v>
      </c>
      <c r="H203" s="19">
        <f>'1'!F199</f>
        <v>0</v>
      </c>
      <c r="I203" s="19">
        <f>'1'!G199</f>
        <v>0</v>
      </c>
      <c r="J203" s="19">
        <f>'1'!H199</f>
        <v>0</v>
      </c>
      <c r="K203" s="19">
        <f>'1'!I199</f>
        <v>0</v>
      </c>
      <c r="L203" s="19">
        <f>'1'!J199</f>
        <v>0</v>
      </c>
    </row>
    <row r="204" spans="1:12" ht="14.5" hidden="1" customHeight="1">
      <c r="A204" s="42" t="s">
        <v>177</v>
      </c>
      <c r="B204" s="56"/>
      <c r="C204" s="33" t="s">
        <v>202</v>
      </c>
      <c r="D204" s="19">
        <f>'1'!B200</f>
        <v>0</v>
      </c>
      <c r="E204" s="19">
        <f>'1'!C200</f>
        <v>0</v>
      </c>
      <c r="F204" s="19">
        <f>'1'!D200</f>
        <v>0</v>
      </c>
      <c r="G204" s="19">
        <f>'1'!E200</f>
        <v>0</v>
      </c>
      <c r="H204" s="19">
        <f>'1'!F200</f>
        <v>0</v>
      </c>
      <c r="I204" s="19">
        <f>'1'!G200</f>
        <v>0</v>
      </c>
      <c r="J204" s="19">
        <f>'1'!H200</f>
        <v>0</v>
      </c>
      <c r="K204" s="19">
        <f>'1'!I200</f>
        <v>0</v>
      </c>
      <c r="L204" s="19">
        <f>'1'!J200</f>
        <v>0</v>
      </c>
    </row>
    <row r="205" spans="1:12" ht="14.5" hidden="1" customHeight="1">
      <c r="A205" s="42" t="s">
        <v>177</v>
      </c>
      <c r="B205" s="56"/>
      <c r="C205" s="33" t="s">
        <v>203</v>
      </c>
      <c r="D205" s="19">
        <f>'1'!B201</f>
        <v>0</v>
      </c>
      <c r="E205" s="19">
        <f>'1'!C201</f>
        <v>0</v>
      </c>
      <c r="F205" s="19">
        <f>'1'!D201</f>
        <v>0</v>
      </c>
      <c r="G205" s="19">
        <f>'1'!E201</f>
        <v>0</v>
      </c>
      <c r="H205" s="19">
        <f>'1'!F201</f>
        <v>0</v>
      </c>
      <c r="I205" s="19">
        <f>'1'!G201</f>
        <v>0</v>
      </c>
      <c r="J205" s="19">
        <f>'1'!H201</f>
        <v>0</v>
      </c>
      <c r="K205" s="19">
        <f>'1'!I201</f>
        <v>0</v>
      </c>
      <c r="L205" s="19">
        <f>'1'!J201</f>
        <v>0</v>
      </c>
    </row>
    <row r="206" spans="1:12" ht="14.5" hidden="1" customHeight="1">
      <c r="A206" s="42" t="s">
        <v>177</v>
      </c>
      <c r="B206" s="56"/>
      <c r="C206" s="33" t="s">
        <v>204</v>
      </c>
      <c r="D206" s="19">
        <f>'1'!B202</f>
        <v>0</v>
      </c>
      <c r="E206" s="19">
        <f>'1'!C202</f>
        <v>0</v>
      </c>
      <c r="F206" s="19">
        <f>'1'!D202</f>
        <v>0</v>
      </c>
      <c r="G206" s="19">
        <f>'1'!E202</f>
        <v>0</v>
      </c>
      <c r="H206" s="19">
        <f>'1'!F202</f>
        <v>0</v>
      </c>
      <c r="I206" s="19">
        <f>'1'!G202</f>
        <v>0</v>
      </c>
      <c r="J206" s="19">
        <f>'1'!H202</f>
        <v>0</v>
      </c>
      <c r="K206" s="19">
        <f>'1'!I202</f>
        <v>0</v>
      </c>
      <c r="L206" s="19">
        <f>'1'!J202</f>
        <v>0</v>
      </c>
    </row>
    <row r="207" spans="1:12" ht="14.5" hidden="1" customHeight="1">
      <c r="A207" s="42" t="s">
        <v>177</v>
      </c>
      <c r="B207" s="56"/>
      <c r="C207" s="33" t="s">
        <v>85</v>
      </c>
      <c r="D207" s="19">
        <f>'1'!B203</f>
        <v>0</v>
      </c>
      <c r="E207" s="19">
        <f>'1'!C203</f>
        <v>0</v>
      </c>
      <c r="F207" s="19">
        <f>'1'!D203</f>
        <v>0</v>
      </c>
      <c r="G207" s="19">
        <f>'1'!E203</f>
        <v>0</v>
      </c>
      <c r="H207" s="19">
        <f>'1'!F203</f>
        <v>0</v>
      </c>
      <c r="I207" s="19">
        <f>'1'!G203</f>
        <v>0</v>
      </c>
      <c r="J207" s="19">
        <f>'1'!H203</f>
        <v>0</v>
      </c>
      <c r="K207" s="19">
        <f>'1'!I203</f>
        <v>0</v>
      </c>
      <c r="L207" s="19">
        <f>'1'!J203</f>
        <v>0</v>
      </c>
    </row>
    <row r="208" spans="1:12" ht="14.5" hidden="1" customHeight="1">
      <c r="A208" s="42" t="s">
        <v>177</v>
      </c>
      <c r="B208" s="56"/>
      <c r="C208" s="33" t="s">
        <v>205</v>
      </c>
      <c r="D208" s="19">
        <f>'1'!B204</f>
        <v>0</v>
      </c>
      <c r="E208" s="19">
        <f>'1'!C204</f>
        <v>0</v>
      </c>
      <c r="F208" s="19">
        <f>'1'!D204</f>
        <v>0</v>
      </c>
      <c r="G208" s="19">
        <f>'1'!E204</f>
        <v>0</v>
      </c>
      <c r="H208" s="19">
        <f>'1'!F204</f>
        <v>0</v>
      </c>
      <c r="I208" s="19">
        <f>'1'!G204</f>
        <v>0</v>
      </c>
      <c r="J208" s="19">
        <f>'1'!H204</f>
        <v>0</v>
      </c>
      <c r="K208" s="19">
        <f>'1'!I204</f>
        <v>0</v>
      </c>
      <c r="L208" s="19">
        <f>'1'!J204</f>
        <v>0</v>
      </c>
    </row>
    <row r="209" spans="1:12" ht="14.5" hidden="1" customHeight="1">
      <c r="A209" s="42" t="s">
        <v>177</v>
      </c>
      <c r="B209" s="56"/>
      <c r="C209" s="33" t="s">
        <v>206</v>
      </c>
      <c r="D209" s="19">
        <f>'1'!B205</f>
        <v>0</v>
      </c>
      <c r="E209" s="19">
        <f>'1'!C205</f>
        <v>0</v>
      </c>
      <c r="F209" s="19">
        <f>'1'!D205</f>
        <v>0</v>
      </c>
      <c r="G209" s="19">
        <f>'1'!E205</f>
        <v>0</v>
      </c>
      <c r="H209" s="19">
        <f>'1'!F205</f>
        <v>0</v>
      </c>
      <c r="I209" s="19">
        <f>'1'!G205</f>
        <v>0</v>
      </c>
      <c r="J209" s="19">
        <f>'1'!H205</f>
        <v>0</v>
      </c>
      <c r="K209" s="19">
        <f>'1'!I205</f>
        <v>0</v>
      </c>
      <c r="L209" s="19">
        <f>'1'!J205</f>
        <v>0</v>
      </c>
    </row>
    <row r="210" spans="1:12" ht="14.5" hidden="1" customHeight="1">
      <c r="A210" s="42" t="s">
        <v>177</v>
      </c>
      <c r="B210" s="56"/>
      <c r="C210" s="33" t="s">
        <v>207</v>
      </c>
      <c r="D210" s="19">
        <f>'1'!B206</f>
        <v>0</v>
      </c>
      <c r="E210" s="19">
        <f>'1'!C206</f>
        <v>0</v>
      </c>
      <c r="F210" s="19">
        <f>'1'!D206</f>
        <v>0</v>
      </c>
      <c r="G210" s="19">
        <f>'1'!E206</f>
        <v>0</v>
      </c>
      <c r="H210" s="19">
        <f>'1'!F206</f>
        <v>0</v>
      </c>
      <c r="I210" s="19">
        <f>'1'!G206</f>
        <v>0</v>
      </c>
      <c r="J210" s="19">
        <f>'1'!H206</f>
        <v>0</v>
      </c>
      <c r="K210" s="19">
        <f>'1'!I206</f>
        <v>0</v>
      </c>
      <c r="L210" s="19">
        <f>'1'!J206</f>
        <v>0</v>
      </c>
    </row>
    <row r="211" spans="1:12" ht="14.5" hidden="1" customHeight="1">
      <c r="A211" s="42" t="s">
        <v>177</v>
      </c>
      <c r="B211" s="56"/>
      <c r="C211" s="33" t="s">
        <v>208</v>
      </c>
      <c r="D211" s="19">
        <f>'1'!B207</f>
        <v>0</v>
      </c>
      <c r="E211" s="19">
        <f>'1'!C207</f>
        <v>0</v>
      </c>
      <c r="F211" s="19">
        <f>'1'!D207</f>
        <v>0</v>
      </c>
      <c r="G211" s="19">
        <f>'1'!E207</f>
        <v>0</v>
      </c>
      <c r="H211" s="19">
        <f>'1'!F207</f>
        <v>0</v>
      </c>
      <c r="I211" s="19">
        <f>'1'!G207</f>
        <v>0</v>
      </c>
      <c r="J211" s="19">
        <f>'1'!H207</f>
        <v>0</v>
      </c>
      <c r="K211" s="19">
        <f>'1'!I207</f>
        <v>0</v>
      </c>
      <c r="L211" s="19">
        <f>'1'!J207</f>
        <v>0</v>
      </c>
    </row>
    <row r="212" spans="1:12" ht="14.5" hidden="1" customHeight="1">
      <c r="A212" s="42" t="s">
        <v>177</v>
      </c>
      <c r="B212" s="56"/>
      <c r="C212" s="33" t="s">
        <v>209</v>
      </c>
      <c r="D212" s="19">
        <f>'1'!B208</f>
        <v>0</v>
      </c>
      <c r="E212" s="19">
        <f>'1'!C208</f>
        <v>0</v>
      </c>
      <c r="F212" s="19">
        <f>'1'!D208</f>
        <v>0</v>
      </c>
      <c r="G212" s="19">
        <f>'1'!E208</f>
        <v>0</v>
      </c>
      <c r="H212" s="19">
        <f>'1'!F208</f>
        <v>0</v>
      </c>
      <c r="I212" s="19">
        <f>'1'!G208</f>
        <v>0</v>
      </c>
      <c r="J212" s="19">
        <f>'1'!H208</f>
        <v>0</v>
      </c>
      <c r="K212" s="19">
        <f>'1'!I208</f>
        <v>0</v>
      </c>
      <c r="L212" s="19">
        <f>'1'!J208</f>
        <v>0</v>
      </c>
    </row>
    <row r="213" spans="1:12" ht="14.5" hidden="1" customHeight="1">
      <c r="A213" s="42" t="s">
        <v>177</v>
      </c>
      <c r="B213" s="56"/>
      <c r="C213" s="33" t="s">
        <v>210</v>
      </c>
      <c r="D213" s="19">
        <f>'1'!B209</f>
        <v>0</v>
      </c>
      <c r="E213" s="19">
        <f>'1'!C209</f>
        <v>0</v>
      </c>
      <c r="F213" s="19">
        <f>'1'!D209</f>
        <v>0</v>
      </c>
      <c r="G213" s="19">
        <f>'1'!E209</f>
        <v>0</v>
      </c>
      <c r="H213" s="19">
        <f>'1'!F209</f>
        <v>0</v>
      </c>
      <c r="I213" s="19">
        <f>'1'!G209</f>
        <v>0</v>
      </c>
      <c r="J213" s="19">
        <f>'1'!H209</f>
        <v>0</v>
      </c>
      <c r="K213" s="19">
        <f>'1'!I209</f>
        <v>0</v>
      </c>
      <c r="L213" s="19">
        <f>'1'!J209</f>
        <v>0</v>
      </c>
    </row>
    <row r="214" spans="1:12" ht="14.5" hidden="1" customHeight="1" thickBot="1">
      <c r="A214" s="42" t="s">
        <v>177</v>
      </c>
      <c r="B214" s="59"/>
      <c r="C214" s="34" t="s">
        <v>211</v>
      </c>
      <c r="D214" s="39">
        <f>'1'!B210</f>
        <v>0</v>
      </c>
      <c r="E214" s="39">
        <f>'1'!C210</f>
        <v>0</v>
      </c>
      <c r="F214" s="39">
        <f>'1'!D210</f>
        <v>0</v>
      </c>
      <c r="G214" s="39">
        <f>'1'!E210</f>
        <v>0</v>
      </c>
      <c r="H214" s="39">
        <f>'1'!F210</f>
        <v>0</v>
      </c>
      <c r="I214" s="39">
        <f>'1'!G210</f>
        <v>0</v>
      </c>
      <c r="J214" s="39">
        <f>'1'!H210</f>
        <v>0</v>
      </c>
      <c r="K214" s="39">
        <f>'1'!I210</f>
        <v>0</v>
      </c>
      <c r="L214" s="39">
        <f>'1'!J210</f>
        <v>0</v>
      </c>
    </row>
    <row r="215" spans="1:12" ht="14.5" customHeight="1">
      <c r="B215" s="37"/>
      <c r="C215" s="38"/>
      <c r="D215" s="24"/>
      <c r="E215" s="24"/>
      <c r="F215" s="24"/>
      <c r="G215" s="24"/>
      <c r="H215" s="24"/>
      <c r="I215" s="24"/>
      <c r="J215" s="24"/>
      <c r="K215" s="24"/>
      <c r="L215" s="24"/>
    </row>
    <row r="216" spans="1:12" ht="14.5" customHeight="1">
      <c r="B216" s="37"/>
      <c r="C216" s="38"/>
      <c r="D216" s="24"/>
      <c r="E216" s="24"/>
      <c r="F216" s="24"/>
      <c r="G216" s="24"/>
      <c r="H216" s="24"/>
      <c r="I216" s="24"/>
      <c r="J216" s="24"/>
      <c r="K216" s="24"/>
      <c r="L216" s="24"/>
    </row>
    <row r="217" spans="1:12" ht="14.5" customHeight="1">
      <c r="B217" s="37"/>
      <c r="C217" s="38"/>
      <c r="D217" s="24"/>
      <c r="E217" s="24"/>
      <c r="F217" s="24"/>
      <c r="G217" s="24"/>
      <c r="H217" s="24"/>
      <c r="I217" s="24"/>
      <c r="J217" s="24"/>
      <c r="K217" s="24"/>
      <c r="L217" s="24"/>
    </row>
    <row r="218" spans="1:12" ht="14.5" customHeight="1">
      <c r="B218" s="23"/>
      <c r="C218" s="23"/>
      <c r="D218" s="24"/>
      <c r="E218" s="24"/>
      <c r="F218" s="24"/>
      <c r="G218" s="24"/>
      <c r="H218" s="24"/>
      <c r="I218" s="24"/>
      <c r="J218" s="24"/>
      <c r="K218" s="24"/>
      <c r="L218" s="24"/>
    </row>
    <row r="219" spans="1:12" ht="14.5" customHeight="1">
      <c r="B219" s="23"/>
      <c r="C219" s="23"/>
      <c r="D219" s="24"/>
      <c r="E219" s="24"/>
      <c r="F219" s="24"/>
      <c r="G219" s="24"/>
      <c r="H219" s="24"/>
      <c r="I219" s="24"/>
      <c r="J219" s="24"/>
      <c r="K219" s="24"/>
      <c r="L219" s="24"/>
    </row>
    <row r="220" spans="1:12" s="9" customFormat="1" ht="14.5" customHeight="1" thickBot="1">
      <c r="A220" s="45"/>
      <c r="B220" s="53" t="s">
        <v>212</v>
      </c>
      <c r="C220" s="54"/>
      <c r="D220" s="54"/>
      <c r="E220" s="54"/>
      <c r="F220" s="54"/>
      <c r="G220" s="54"/>
      <c r="H220" s="54"/>
      <c r="I220" s="54"/>
      <c r="J220" s="54"/>
      <c r="K220" s="54"/>
      <c r="L220" s="54"/>
    </row>
    <row r="221" spans="1:12" ht="14.5" customHeight="1" thickBot="1">
      <c r="B221" s="61" t="s">
        <v>4</v>
      </c>
      <c r="C221" s="13" t="s">
        <v>5</v>
      </c>
      <c r="D221" s="2">
        <f t="shared" ref="D221:L221" si="1">D6*100%/SUM(D$6:D$8)</f>
        <v>4.2599999999999999E-2</v>
      </c>
      <c r="E221" s="2" t="e">
        <f t="shared" si="1"/>
        <v>#DIV/0!</v>
      </c>
      <c r="F221" s="2" t="e">
        <f t="shared" si="1"/>
        <v>#DIV/0!</v>
      </c>
      <c r="G221" s="2" t="e">
        <f t="shared" si="1"/>
        <v>#DIV/0!</v>
      </c>
      <c r="H221" s="2" t="e">
        <f t="shared" si="1"/>
        <v>#DIV/0!</v>
      </c>
      <c r="I221" s="2" t="e">
        <f t="shared" si="1"/>
        <v>#DIV/0!</v>
      </c>
      <c r="J221" s="2" t="e">
        <f t="shared" si="1"/>
        <v>#DIV/0!</v>
      </c>
      <c r="K221" s="2" t="e">
        <f t="shared" si="1"/>
        <v>#DIV/0!</v>
      </c>
      <c r="L221" s="2" t="e">
        <f t="shared" si="1"/>
        <v>#DIV/0!</v>
      </c>
    </row>
    <row r="222" spans="1:12" ht="14.5" customHeight="1" thickBot="1">
      <c r="B222" s="51"/>
      <c r="C222" s="15" t="s">
        <v>6</v>
      </c>
      <c r="D222" s="2">
        <f t="shared" ref="D222:L222" si="2">D7*100%/SUM(D$6:D$8)</f>
        <v>0.95660000000000001</v>
      </c>
      <c r="E222" s="2" t="e">
        <f t="shared" si="2"/>
        <v>#DIV/0!</v>
      </c>
      <c r="F222" s="2" t="e">
        <f t="shared" si="2"/>
        <v>#DIV/0!</v>
      </c>
      <c r="G222" s="2" t="e">
        <f t="shared" si="2"/>
        <v>#DIV/0!</v>
      </c>
      <c r="H222" s="2" t="e">
        <f t="shared" si="2"/>
        <v>#DIV/0!</v>
      </c>
      <c r="I222" s="2" t="e">
        <f t="shared" si="2"/>
        <v>#DIV/0!</v>
      </c>
      <c r="J222" s="2" t="e">
        <f t="shared" si="2"/>
        <v>#DIV/0!</v>
      </c>
      <c r="K222" s="2" t="e">
        <f t="shared" si="2"/>
        <v>#DIV/0!</v>
      </c>
      <c r="L222" s="2" t="e">
        <f t="shared" si="2"/>
        <v>#DIV/0!</v>
      </c>
    </row>
    <row r="223" spans="1:12" ht="14.5" customHeight="1" thickBot="1">
      <c r="B223" s="52"/>
      <c r="C223" s="15" t="s">
        <v>7</v>
      </c>
      <c r="D223" s="2">
        <f t="shared" ref="D223:L223" si="3">D8*100%/SUM(D$6:D$8)</f>
        <v>8.0000000000000004E-4</v>
      </c>
      <c r="E223" s="2" t="e">
        <f t="shared" si="3"/>
        <v>#DIV/0!</v>
      </c>
      <c r="F223" s="2" t="e">
        <f t="shared" si="3"/>
        <v>#DIV/0!</v>
      </c>
      <c r="G223" s="2" t="e">
        <f t="shared" si="3"/>
        <v>#DIV/0!</v>
      </c>
      <c r="H223" s="2" t="e">
        <f t="shared" si="3"/>
        <v>#DIV/0!</v>
      </c>
      <c r="I223" s="2" t="e">
        <f t="shared" si="3"/>
        <v>#DIV/0!</v>
      </c>
      <c r="J223" s="2" t="e">
        <f t="shared" si="3"/>
        <v>#DIV/0!</v>
      </c>
      <c r="K223" s="2" t="e">
        <f t="shared" si="3"/>
        <v>#DIV/0!</v>
      </c>
      <c r="L223" s="2" t="e">
        <f t="shared" si="3"/>
        <v>#DIV/0!</v>
      </c>
    </row>
    <row r="224" spans="1:12" ht="14.5" customHeight="1" thickBot="1">
      <c r="B224" s="50" t="s">
        <v>8</v>
      </c>
      <c r="C224" s="16" t="s">
        <v>9</v>
      </c>
      <c r="D224" s="5">
        <f t="shared" ref="D224:L224" si="4">21*D225+27*D226+32*D227+37*D228+42*D229+45*D230</f>
        <v>28.6978697869787</v>
      </c>
      <c r="E224" s="5" t="e">
        <f t="shared" si="4"/>
        <v>#DIV/0!</v>
      </c>
      <c r="F224" s="5" t="e">
        <f t="shared" si="4"/>
        <v>#DIV/0!</v>
      </c>
      <c r="G224" s="5" t="e">
        <f t="shared" si="4"/>
        <v>#DIV/0!</v>
      </c>
      <c r="H224" s="5" t="e">
        <f t="shared" si="4"/>
        <v>#DIV/0!</v>
      </c>
      <c r="I224" s="5" t="e">
        <f t="shared" si="4"/>
        <v>#DIV/0!</v>
      </c>
      <c r="J224" s="5" t="e">
        <f t="shared" si="4"/>
        <v>#DIV/0!</v>
      </c>
      <c r="K224" s="5" t="e">
        <f t="shared" si="4"/>
        <v>#DIV/0!</v>
      </c>
      <c r="L224" s="5" t="e">
        <f t="shared" si="4"/>
        <v>#DIV/0!</v>
      </c>
    </row>
    <row r="225" spans="2:12" ht="14.5" customHeight="1">
      <c r="B225" s="51"/>
      <c r="C225" s="18" t="s">
        <v>10</v>
      </c>
      <c r="D225" s="3">
        <f t="shared" ref="D225:L225" si="5">D10*100%/SUM(D$10:D$16)</f>
        <v>0.23822382238223824</v>
      </c>
      <c r="E225" s="3" t="e">
        <f t="shared" si="5"/>
        <v>#DIV/0!</v>
      </c>
      <c r="F225" s="3" t="e">
        <f t="shared" si="5"/>
        <v>#DIV/0!</v>
      </c>
      <c r="G225" s="3" t="e">
        <f t="shared" si="5"/>
        <v>#DIV/0!</v>
      </c>
      <c r="H225" s="3" t="e">
        <f t="shared" si="5"/>
        <v>#DIV/0!</v>
      </c>
      <c r="I225" s="3" t="e">
        <f t="shared" si="5"/>
        <v>#DIV/0!</v>
      </c>
      <c r="J225" s="3" t="e">
        <f t="shared" si="5"/>
        <v>#DIV/0!</v>
      </c>
      <c r="K225" s="3" t="e">
        <f t="shared" si="5"/>
        <v>#DIV/0!</v>
      </c>
      <c r="L225" s="3" t="e">
        <f t="shared" si="5"/>
        <v>#DIV/0!</v>
      </c>
    </row>
    <row r="226" spans="2:12" ht="14.5" customHeight="1">
      <c r="B226" s="51"/>
      <c r="C226" s="18" t="s">
        <v>11</v>
      </c>
      <c r="D226" s="3">
        <f t="shared" ref="D226:L226" si="6">D11*100%/SUM(D$10:D$16)</f>
        <v>0.38073807380738078</v>
      </c>
      <c r="E226" s="3" t="e">
        <f t="shared" si="6"/>
        <v>#DIV/0!</v>
      </c>
      <c r="F226" s="3" t="e">
        <f t="shared" si="6"/>
        <v>#DIV/0!</v>
      </c>
      <c r="G226" s="3" t="e">
        <f t="shared" si="6"/>
        <v>#DIV/0!</v>
      </c>
      <c r="H226" s="3" t="e">
        <f t="shared" si="6"/>
        <v>#DIV/0!</v>
      </c>
      <c r="I226" s="3" t="e">
        <f t="shared" si="6"/>
        <v>#DIV/0!</v>
      </c>
      <c r="J226" s="3" t="e">
        <f t="shared" si="6"/>
        <v>#DIV/0!</v>
      </c>
      <c r="K226" s="3" t="e">
        <f t="shared" si="6"/>
        <v>#DIV/0!</v>
      </c>
      <c r="L226" s="3" t="e">
        <f t="shared" si="6"/>
        <v>#DIV/0!</v>
      </c>
    </row>
    <row r="227" spans="2:12" ht="14.5" customHeight="1">
      <c r="B227" s="51"/>
      <c r="C227" s="18" t="s">
        <v>12</v>
      </c>
      <c r="D227" s="3">
        <f t="shared" ref="D227:L227" si="7">D12*100%/SUM(D$10:D$16)</f>
        <v>0.20202020202020204</v>
      </c>
      <c r="E227" s="3" t="e">
        <f t="shared" si="7"/>
        <v>#DIV/0!</v>
      </c>
      <c r="F227" s="3" t="e">
        <f t="shared" si="7"/>
        <v>#DIV/0!</v>
      </c>
      <c r="G227" s="3" t="e">
        <f t="shared" si="7"/>
        <v>#DIV/0!</v>
      </c>
      <c r="H227" s="3" t="e">
        <f t="shared" si="7"/>
        <v>#DIV/0!</v>
      </c>
      <c r="I227" s="3" t="e">
        <f t="shared" si="7"/>
        <v>#DIV/0!</v>
      </c>
      <c r="J227" s="3" t="e">
        <f t="shared" si="7"/>
        <v>#DIV/0!</v>
      </c>
      <c r="K227" s="3" t="e">
        <f t="shared" si="7"/>
        <v>#DIV/0!</v>
      </c>
      <c r="L227" s="3" t="e">
        <f t="shared" si="7"/>
        <v>#DIV/0!</v>
      </c>
    </row>
    <row r="228" spans="2:12" ht="14.5" customHeight="1">
      <c r="B228" s="51"/>
      <c r="C228" s="18" t="s">
        <v>13</v>
      </c>
      <c r="D228" s="3">
        <f t="shared" ref="D228:L228" si="8">D13*100%/SUM(D$10:D$16)</f>
        <v>0.10661066106610662</v>
      </c>
      <c r="E228" s="3" t="e">
        <f t="shared" si="8"/>
        <v>#DIV/0!</v>
      </c>
      <c r="F228" s="3" t="e">
        <f t="shared" si="8"/>
        <v>#DIV/0!</v>
      </c>
      <c r="G228" s="3" t="e">
        <f t="shared" si="8"/>
        <v>#DIV/0!</v>
      </c>
      <c r="H228" s="3" t="e">
        <f t="shared" si="8"/>
        <v>#DIV/0!</v>
      </c>
      <c r="I228" s="3" t="e">
        <f t="shared" si="8"/>
        <v>#DIV/0!</v>
      </c>
      <c r="J228" s="3" t="e">
        <f t="shared" si="8"/>
        <v>#DIV/0!</v>
      </c>
      <c r="K228" s="3" t="e">
        <f t="shared" si="8"/>
        <v>#DIV/0!</v>
      </c>
      <c r="L228" s="3" t="e">
        <f t="shared" si="8"/>
        <v>#DIV/0!</v>
      </c>
    </row>
    <row r="229" spans="2:12" ht="14.5" customHeight="1">
      <c r="B229" s="51"/>
      <c r="C229" s="18" t="s">
        <v>14</v>
      </c>
      <c r="D229" s="3">
        <f t="shared" ref="D229:L229" si="9">D14*100%/SUM(D$10:D$16)</f>
        <v>3.4603460346034606E-2</v>
      </c>
      <c r="E229" s="3" t="e">
        <f t="shared" si="9"/>
        <v>#DIV/0!</v>
      </c>
      <c r="F229" s="3" t="e">
        <f t="shared" si="9"/>
        <v>#DIV/0!</v>
      </c>
      <c r="G229" s="3" t="e">
        <f t="shared" si="9"/>
        <v>#DIV/0!</v>
      </c>
      <c r="H229" s="3" t="e">
        <f t="shared" si="9"/>
        <v>#DIV/0!</v>
      </c>
      <c r="I229" s="3" t="e">
        <f t="shared" si="9"/>
        <v>#DIV/0!</v>
      </c>
      <c r="J229" s="3" t="e">
        <f t="shared" si="9"/>
        <v>#DIV/0!</v>
      </c>
      <c r="K229" s="3" t="e">
        <f t="shared" si="9"/>
        <v>#DIV/0!</v>
      </c>
      <c r="L229" s="3" t="e">
        <f t="shared" si="9"/>
        <v>#DIV/0!</v>
      </c>
    </row>
    <row r="230" spans="2:12" ht="14.5" customHeight="1">
      <c r="B230" s="51"/>
      <c r="C230" s="18" t="s">
        <v>15</v>
      </c>
      <c r="D230" s="3">
        <f t="shared" ref="D230:L230" si="10">D15*100%/SUM(D$10:D$16)</f>
        <v>3.4503450345034513E-2</v>
      </c>
      <c r="E230" s="3" t="e">
        <f t="shared" si="10"/>
        <v>#DIV/0!</v>
      </c>
      <c r="F230" s="3" t="e">
        <f t="shared" si="10"/>
        <v>#DIV/0!</v>
      </c>
      <c r="G230" s="3" t="e">
        <f t="shared" si="10"/>
        <v>#DIV/0!</v>
      </c>
      <c r="H230" s="3" t="e">
        <f t="shared" si="10"/>
        <v>#DIV/0!</v>
      </c>
      <c r="I230" s="3" t="e">
        <f t="shared" si="10"/>
        <v>#DIV/0!</v>
      </c>
      <c r="J230" s="3" t="e">
        <f t="shared" si="10"/>
        <v>#DIV/0!</v>
      </c>
      <c r="K230" s="3" t="e">
        <f t="shared" si="10"/>
        <v>#DIV/0!</v>
      </c>
      <c r="L230" s="3" t="e">
        <f t="shared" si="10"/>
        <v>#DIV/0!</v>
      </c>
    </row>
    <row r="231" spans="2:12" ht="14.5" customHeight="1" thickBot="1">
      <c r="B231" s="52"/>
      <c r="C231" s="18" t="s">
        <v>16</v>
      </c>
      <c r="D231" s="3">
        <f t="shared" ref="D231:L231" si="11">D16*100%/SUM(D$10:D$16)</f>
        <v>3.3003300330033008E-3</v>
      </c>
      <c r="E231" s="3" t="e">
        <f t="shared" si="11"/>
        <v>#DIV/0!</v>
      </c>
      <c r="F231" s="3" t="e">
        <f t="shared" si="11"/>
        <v>#DIV/0!</v>
      </c>
      <c r="G231" s="3" t="e">
        <f t="shared" si="11"/>
        <v>#DIV/0!</v>
      </c>
      <c r="H231" s="3" t="e">
        <f t="shared" si="11"/>
        <v>#DIV/0!</v>
      </c>
      <c r="I231" s="3" t="e">
        <f t="shared" si="11"/>
        <v>#DIV/0!</v>
      </c>
      <c r="J231" s="3" t="e">
        <f t="shared" si="11"/>
        <v>#DIV/0!</v>
      </c>
      <c r="K231" s="3" t="e">
        <f t="shared" si="11"/>
        <v>#DIV/0!</v>
      </c>
      <c r="L231" s="3" t="e">
        <f t="shared" si="11"/>
        <v>#DIV/0!</v>
      </c>
    </row>
    <row r="232" spans="2:12" ht="14.5" customHeight="1" thickBot="1">
      <c r="B232" s="68" t="s">
        <v>17</v>
      </c>
      <c r="C232" s="13" t="s">
        <v>18</v>
      </c>
      <c r="D232" s="2">
        <f t="shared" ref="D232:L232" si="12">D17*100%/SUM(D$17:D$23)</f>
        <v>0.13439999999999999</v>
      </c>
      <c r="E232" s="2" t="e">
        <f t="shared" si="12"/>
        <v>#DIV/0!</v>
      </c>
      <c r="F232" s="2" t="e">
        <f t="shared" si="12"/>
        <v>#DIV/0!</v>
      </c>
      <c r="G232" s="2" t="e">
        <f t="shared" si="12"/>
        <v>#DIV/0!</v>
      </c>
      <c r="H232" s="2" t="e">
        <f t="shared" si="12"/>
        <v>#DIV/0!</v>
      </c>
      <c r="I232" s="2" t="e">
        <f t="shared" si="12"/>
        <v>#DIV/0!</v>
      </c>
      <c r="J232" s="2" t="e">
        <f t="shared" si="12"/>
        <v>#DIV/0!</v>
      </c>
      <c r="K232" s="2" t="e">
        <f t="shared" si="12"/>
        <v>#DIV/0!</v>
      </c>
      <c r="L232" s="2" t="e">
        <f t="shared" si="12"/>
        <v>#DIV/0!</v>
      </c>
    </row>
    <row r="233" spans="2:12" ht="14.5" customHeight="1">
      <c r="B233" s="51"/>
      <c r="C233" s="15" t="s">
        <v>19</v>
      </c>
      <c r="D233" s="3">
        <f t="shared" ref="D233:L233" si="13">D18*100%/SUM(D$17:D$23)</f>
        <v>0.32929999999999998</v>
      </c>
      <c r="E233" s="3" t="e">
        <f t="shared" si="13"/>
        <v>#DIV/0!</v>
      </c>
      <c r="F233" s="3" t="e">
        <f t="shared" si="13"/>
        <v>#DIV/0!</v>
      </c>
      <c r="G233" s="3" t="e">
        <f t="shared" si="13"/>
        <v>#DIV/0!</v>
      </c>
      <c r="H233" s="3" t="e">
        <f t="shared" si="13"/>
        <v>#DIV/0!</v>
      </c>
      <c r="I233" s="3" t="e">
        <f t="shared" si="13"/>
        <v>#DIV/0!</v>
      </c>
      <c r="J233" s="3" t="e">
        <f t="shared" si="13"/>
        <v>#DIV/0!</v>
      </c>
      <c r="K233" s="3" t="e">
        <f t="shared" si="13"/>
        <v>#DIV/0!</v>
      </c>
      <c r="L233" s="3" t="e">
        <f t="shared" si="13"/>
        <v>#DIV/0!</v>
      </c>
    </row>
    <row r="234" spans="2:12" ht="14.5" customHeight="1">
      <c r="B234" s="51"/>
      <c r="C234" s="15" t="s">
        <v>20</v>
      </c>
      <c r="D234" s="3">
        <f t="shared" ref="D234:L234" si="14">D19*100%/SUM(D$17:D$23)</f>
        <v>0.2034</v>
      </c>
      <c r="E234" s="3" t="e">
        <f t="shared" si="14"/>
        <v>#DIV/0!</v>
      </c>
      <c r="F234" s="3" t="e">
        <f t="shared" si="14"/>
        <v>#DIV/0!</v>
      </c>
      <c r="G234" s="3" t="e">
        <f t="shared" si="14"/>
        <v>#DIV/0!</v>
      </c>
      <c r="H234" s="3" t="e">
        <f t="shared" si="14"/>
        <v>#DIV/0!</v>
      </c>
      <c r="I234" s="3" t="e">
        <f t="shared" si="14"/>
        <v>#DIV/0!</v>
      </c>
      <c r="J234" s="3" t="e">
        <f t="shared" si="14"/>
        <v>#DIV/0!</v>
      </c>
      <c r="K234" s="3" t="e">
        <f t="shared" si="14"/>
        <v>#DIV/0!</v>
      </c>
      <c r="L234" s="3" t="e">
        <f t="shared" si="14"/>
        <v>#DIV/0!</v>
      </c>
    </row>
    <row r="235" spans="2:12" ht="14.5" customHeight="1">
      <c r="B235" s="51"/>
      <c r="C235" s="15" t="s">
        <v>21</v>
      </c>
      <c r="D235" s="3">
        <f t="shared" ref="D235:L235" si="15">D20*100%/SUM(D$17:D$23)</f>
        <v>8.8999999999999996E-2</v>
      </c>
      <c r="E235" s="3" t="e">
        <f t="shared" si="15"/>
        <v>#DIV/0!</v>
      </c>
      <c r="F235" s="3" t="e">
        <f t="shared" si="15"/>
        <v>#DIV/0!</v>
      </c>
      <c r="G235" s="3" t="e">
        <f t="shared" si="15"/>
        <v>#DIV/0!</v>
      </c>
      <c r="H235" s="3" t="e">
        <f t="shared" si="15"/>
        <v>#DIV/0!</v>
      </c>
      <c r="I235" s="3" t="e">
        <f t="shared" si="15"/>
        <v>#DIV/0!</v>
      </c>
      <c r="J235" s="3" t="e">
        <f t="shared" si="15"/>
        <v>#DIV/0!</v>
      </c>
      <c r="K235" s="3" t="e">
        <f t="shared" si="15"/>
        <v>#DIV/0!</v>
      </c>
      <c r="L235" s="3" t="e">
        <f t="shared" si="15"/>
        <v>#DIV/0!</v>
      </c>
    </row>
    <row r="236" spans="2:12" ht="14.5" customHeight="1">
      <c r="B236" s="51"/>
      <c r="C236" s="15" t="s">
        <v>22</v>
      </c>
      <c r="D236" s="3">
        <f t="shared" ref="D236:L236" si="16">D21*100%/SUM(D$17:D$23)</f>
        <v>0.1452</v>
      </c>
      <c r="E236" s="3" t="e">
        <f t="shared" si="16"/>
        <v>#DIV/0!</v>
      </c>
      <c r="F236" s="3" t="e">
        <f t="shared" si="16"/>
        <v>#DIV/0!</v>
      </c>
      <c r="G236" s="3" t="e">
        <f t="shared" si="16"/>
        <v>#DIV/0!</v>
      </c>
      <c r="H236" s="3" t="e">
        <f t="shared" si="16"/>
        <v>#DIV/0!</v>
      </c>
      <c r="I236" s="3" t="e">
        <f t="shared" si="16"/>
        <v>#DIV/0!</v>
      </c>
      <c r="J236" s="3" t="e">
        <f t="shared" si="16"/>
        <v>#DIV/0!</v>
      </c>
      <c r="K236" s="3" t="e">
        <f t="shared" si="16"/>
        <v>#DIV/0!</v>
      </c>
      <c r="L236" s="3" t="e">
        <f t="shared" si="16"/>
        <v>#DIV/0!</v>
      </c>
    </row>
    <row r="237" spans="2:12" ht="14.5" customHeight="1">
      <c r="B237" s="51"/>
      <c r="C237" s="15" t="s">
        <v>23</v>
      </c>
      <c r="D237" s="3">
        <f t="shared" ref="D237:L237" si="17">D22*100%/SUM(D$17:D$23)</f>
        <v>9.5100000000000004E-2</v>
      </c>
      <c r="E237" s="3" t="e">
        <f t="shared" si="17"/>
        <v>#DIV/0!</v>
      </c>
      <c r="F237" s="3" t="e">
        <f t="shared" si="17"/>
        <v>#DIV/0!</v>
      </c>
      <c r="G237" s="3" t="e">
        <f t="shared" si="17"/>
        <v>#DIV/0!</v>
      </c>
      <c r="H237" s="3" t="e">
        <f t="shared" si="17"/>
        <v>#DIV/0!</v>
      </c>
      <c r="I237" s="3" t="e">
        <f t="shared" si="17"/>
        <v>#DIV/0!</v>
      </c>
      <c r="J237" s="3" t="e">
        <f t="shared" si="17"/>
        <v>#DIV/0!</v>
      </c>
      <c r="K237" s="3" t="e">
        <f t="shared" si="17"/>
        <v>#DIV/0!</v>
      </c>
      <c r="L237" s="3" t="e">
        <f t="shared" si="17"/>
        <v>#DIV/0!</v>
      </c>
    </row>
    <row r="238" spans="2:12" ht="14.5" customHeight="1" thickBot="1">
      <c r="B238" s="52"/>
      <c r="C238" s="15" t="s">
        <v>24</v>
      </c>
      <c r="D238" s="4">
        <f t="shared" ref="D238:L238" si="18">D23*100%/SUM(D$17:D$23)</f>
        <v>3.5999999999999999E-3</v>
      </c>
      <c r="E238" s="4" t="e">
        <f t="shared" si="18"/>
        <v>#DIV/0!</v>
      </c>
      <c r="F238" s="4" t="e">
        <f t="shared" si="18"/>
        <v>#DIV/0!</v>
      </c>
      <c r="G238" s="4" t="e">
        <f t="shared" si="18"/>
        <v>#DIV/0!</v>
      </c>
      <c r="H238" s="4" t="e">
        <f t="shared" si="18"/>
        <v>#DIV/0!</v>
      </c>
      <c r="I238" s="4" t="e">
        <f t="shared" si="18"/>
        <v>#DIV/0!</v>
      </c>
      <c r="J238" s="4" t="e">
        <f t="shared" si="18"/>
        <v>#DIV/0!</v>
      </c>
      <c r="K238" s="4" t="e">
        <f t="shared" si="18"/>
        <v>#DIV/0!</v>
      </c>
      <c r="L238" s="4" t="e">
        <f t="shared" si="18"/>
        <v>#DIV/0!</v>
      </c>
    </row>
    <row r="239" spans="2:12" ht="14.5" customHeight="1" thickBot="1">
      <c r="B239" s="70" t="s">
        <v>25</v>
      </c>
      <c r="C239" s="20">
        <v>1</v>
      </c>
      <c r="D239" s="2">
        <f t="shared" ref="D239:L239" si="19">D24*100%/SUM(D$24:D$29)</f>
        <v>7.1000000000000013E-3</v>
      </c>
      <c r="E239" s="2" t="e">
        <f t="shared" si="19"/>
        <v>#DIV/0!</v>
      </c>
      <c r="F239" s="2" t="e">
        <f t="shared" si="19"/>
        <v>#DIV/0!</v>
      </c>
      <c r="G239" s="2" t="e">
        <f t="shared" si="19"/>
        <v>#DIV/0!</v>
      </c>
      <c r="H239" s="2" t="e">
        <f t="shared" si="19"/>
        <v>#DIV/0!</v>
      </c>
      <c r="I239" s="2" t="e">
        <f t="shared" si="19"/>
        <v>#DIV/0!</v>
      </c>
      <c r="J239" s="2" t="e">
        <f t="shared" si="19"/>
        <v>#DIV/0!</v>
      </c>
      <c r="K239" s="2" t="e">
        <f t="shared" si="19"/>
        <v>#DIV/0!</v>
      </c>
      <c r="L239" s="2" t="e">
        <f t="shared" si="19"/>
        <v>#DIV/0!</v>
      </c>
    </row>
    <row r="240" spans="2:12" ht="14.5" customHeight="1">
      <c r="B240" s="51"/>
      <c r="C240" s="18">
        <v>2</v>
      </c>
      <c r="D240" s="3">
        <f t="shared" ref="D240:L240" si="20">D25*100%/SUM(D$24:D$29)</f>
        <v>8.3600000000000022E-2</v>
      </c>
      <c r="E240" s="3" t="e">
        <f t="shared" si="20"/>
        <v>#DIV/0!</v>
      </c>
      <c r="F240" s="3" t="e">
        <f t="shared" si="20"/>
        <v>#DIV/0!</v>
      </c>
      <c r="G240" s="3" t="e">
        <f t="shared" si="20"/>
        <v>#DIV/0!</v>
      </c>
      <c r="H240" s="3" t="e">
        <f t="shared" si="20"/>
        <v>#DIV/0!</v>
      </c>
      <c r="I240" s="3" t="e">
        <f t="shared" si="20"/>
        <v>#DIV/0!</v>
      </c>
      <c r="J240" s="3" t="e">
        <f t="shared" si="20"/>
        <v>#DIV/0!</v>
      </c>
      <c r="K240" s="3" t="e">
        <f t="shared" si="20"/>
        <v>#DIV/0!</v>
      </c>
      <c r="L240" s="3" t="e">
        <f t="shared" si="20"/>
        <v>#DIV/0!</v>
      </c>
    </row>
    <row r="241" spans="2:12" ht="14.5" customHeight="1">
      <c r="B241" s="51"/>
      <c r="C241" s="18">
        <v>3</v>
      </c>
      <c r="D241" s="3">
        <f t="shared" ref="D241:L241" si="21">D26*100%/SUM(D$24:D$29)</f>
        <v>0.22890000000000002</v>
      </c>
      <c r="E241" s="3" t="e">
        <f t="shared" si="21"/>
        <v>#DIV/0!</v>
      </c>
      <c r="F241" s="3" t="e">
        <f t="shared" si="21"/>
        <v>#DIV/0!</v>
      </c>
      <c r="G241" s="3" t="e">
        <f t="shared" si="21"/>
        <v>#DIV/0!</v>
      </c>
      <c r="H241" s="3" t="e">
        <f t="shared" si="21"/>
        <v>#DIV/0!</v>
      </c>
      <c r="I241" s="3" t="e">
        <f t="shared" si="21"/>
        <v>#DIV/0!</v>
      </c>
      <c r="J241" s="3" t="e">
        <f t="shared" si="21"/>
        <v>#DIV/0!</v>
      </c>
      <c r="K241" s="3" t="e">
        <f t="shared" si="21"/>
        <v>#DIV/0!</v>
      </c>
      <c r="L241" s="3" t="e">
        <f t="shared" si="21"/>
        <v>#DIV/0!</v>
      </c>
    </row>
    <row r="242" spans="2:12" ht="14.5" customHeight="1">
      <c r="B242" s="51"/>
      <c r="C242" s="18">
        <v>4</v>
      </c>
      <c r="D242" s="3">
        <f t="shared" ref="D242:L242" si="22">D27*100%/SUM(D$24:D$29)</f>
        <v>0.35040000000000004</v>
      </c>
      <c r="E242" s="3" t="e">
        <f t="shared" si="22"/>
        <v>#DIV/0!</v>
      </c>
      <c r="F242" s="3" t="e">
        <f t="shared" si="22"/>
        <v>#DIV/0!</v>
      </c>
      <c r="G242" s="3" t="e">
        <f t="shared" si="22"/>
        <v>#DIV/0!</v>
      </c>
      <c r="H242" s="3" t="e">
        <f t="shared" si="22"/>
        <v>#DIV/0!</v>
      </c>
      <c r="I242" s="3" t="e">
        <f t="shared" si="22"/>
        <v>#DIV/0!</v>
      </c>
      <c r="J242" s="3" t="e">
        <f t="shared" si="22"/>
        <v>#DIV/0!</v>
      </c>
      <c r="K242" s="3" t="e">
        <f t="shared" si="22"/>
        <v>#DIV/0!</v>
      </c>
      <c r="L242" s="3" t="e">
        <f t="shared" si="22"/>
        <v>#DIV/0!</v>
      </c>
    </row>
    <row r="243" spans="2:12" ht="15" customHeight="1">
      <c r="B243" s="51"/>
      <c r="C243" s="18">
        <v>5</v>
      </c>
      <c r="D243" s="3">
        <f t="shared" ref="D243:L243" si="23">D28*100%/SUM(D$24:D$29)</f>
        <v>0.32960000000000006</v>
      </c>
      <c r="E243" s="3" t="e">
        <f t="shared" si="23"/>
        <v>#DIV/0!</v>
      </c>
      <c r="F243" s="3" t="e">
        <f t="shared" si="23"/>
        <v>#DIV/0!</v>
      </c>
      <c r="G243" s="3" t="e">
        <f t="shared" si="23"/>
        <v>#DIV/0!</v>
      </c>
      <c r="H243" s="3" t="e">
        <f t="shared" si="23"/>
        <v>#DIV/0!</v>
      </c>
      <c r="I243" s="3" t="e">
        <f t="shared" si="23"/>
        <v>#DIV/0!</v>
      </c>
      <c r="J243" s="3" t="e">
        <f t="shared" si="23"/>
        <v>#DIV/0!</v>
      </c>
      <c r="K243" s="3" t="e">
        <f t="shared" si="23"/>
        <v>#DIV/0!</v>
      </c>
      <c r="L243" s="3" t="e">
        <f t="shared" si="23"/>
        <v>#DIV/0!</v>
      </c>
    </row>
    <row r="244" spans="2:12" ht="14.5" customHeight="1" thickBot="1">
      <c r="B244" s="52"/>
      <c r="C244" s="18" t="s">
        <v>26</v>
      </c>
      <c r="D244" s="3">
        <f t="shared" ref="D244:L244" si="24">D29*100%/SUM(D$24:D$29)</f>
        <v>4.0000000000000007E-4</v>
      </c>
      <c r="E244" s="3" t="e">
        <f t="shared" si="24"/>
        <v>#DIV/0!</v>
      </c>
      <c r="F244" s="3" t="e">
        <f t="shared" si="24"/>
        <v>#DIV/0!</v>
      </c>
      <c r="G244" s="3" t="e">
        <f t="shared" si="24"/>
        <v>#DIV/0!</v>
      </c>
      <c r="H244" s="3" t="e">
        <f t="shared" si="24"/>
        <v>#DIV/0!</v>
      </c>
      <c r="I244" s="3" t="e">
        <f t="shared" si="24"/>
        <v>#DIV/0!</v>
      </c>
      <c r="J244" s="3" t="e">
        <f t="shared" si="24"/>
        <v>#DIV/0!</v>
      </c>
      <c r="K244" s="3" t="e">
        <f t="shared" si="24"/>
        <v>#DIV/0!</v>
      </c>
      <c r="L244" s="3" t="e">
        <f t="shared" si="24"/>
        <v>#DIV/0!</v>
      </c>
    </row>
    <row r="245" spans="2:12" ht="14.5" customHeight="1" thickBot="1">
      <c r="B245" s="50" t="s">
        <v>27</v>
      </c>
      <c r="C245" s="13" t="s">
        <v>28</v>
      </c>
      <c r="D245" s="6">
        <f t="shared" ref="D245:L245" si="25">D30*100%/SUM(D$30:D$34)</f>
        <v>0.27100000000000002</v>
      </c>
      <c r="E245" s="6" t="e">
        <f t="shared" si="25"/>
        <v>#DIV/0!</v>
      </c>
      <c r="F245" s="6" t="e">
        <f t="shared" si="25"/>
        <v>#DIV/0!</v>
      </c>
      <c r="G245" s="6" t="e">
        <f t="shared" si="25"/>
        <v>#DIV/0!</v>
      </c>
      <c r="H245" s="6" t="e">
        <f t="shared" si="25"/>
        <v>#DIV/0!</v>
      </c>
      <c r="I245" s="6" t="e">
        <f t="shared" si="25"/>
        <v>#DIV/0!</v>
      </c>
      <c r="J245" s="6" t="e">
        <f t="shared" si="25"/>
        <v>#DIV/0!</v>
      </c>
      <c r="K245" s="6" t="e">
        <f t="shared" si="25"/>
        <v>#DIV/0!</v>
      </c>
      <c r="L245" s="6" t="e">
        <f t="shared" si="25"/>
        <v>#DIV/0!</v>
      </c>
    </row>
    <row r="246" spans="2:12" ht="14.5" customHeight="1">
      <c r="B246" s="51"/>
      <c r="C246" s="15" t="s">
        <v>29</v>
      </c>
      <c r="D246" s="7">
        <f t="shared" ref="D246:L246" si="26">D31*100%/SUM(D$30:D$34)</f>
        <v>0.1017</v>
      </c>
      <c r="E246" s="7" t="e">
        <f t="shared" si="26"/>
        <v>#DIV/0!</v>
      </c>
      <c r="F246" s="7" t="e">
        <f t="shared" si="26"/>
        <v>#DIV/0!</v>
      </c>
      <c r="G246" s="7" t="e">
        <f t="shared" si="26"/>
        <v>#DIV/0!</v>
      </c>
      <c r="H246" s="7" t="e">
        <f t="shared" si="26"/>
        <v>#DIV/0!</v>
      </c>
      <c r="I246" s="7" t="e">
        <f t="shared" si="26"/>
        <v>#DIV/0!</v>
      </c>
      <c r="J246" s="7" t="e">
        <f t="shared" si="26"/>
        <v>#DIV/0!</v>
      </c>
      <c r="K246" s="7" t="e">
        <f t="shared" si="26"/>
        <v>#DIV/0!</v>
      </c>
      <c r="L246" s="7" t="e">
        <f t="shared" si="26"/>
        <v>#DIV/0!</v>
      </c>
    </row>
    <row r="247" spans="2:12" ht="14.5" customHeight="1">
      <c r="B247" s="51"/>
      <c r="C247" s="15" t="s">
        <v>30</v>
      </c>
      <c r="D247" s="7">
        <f t="shared" ref="D247:L247" si="27">D32*100%/SUM(D$30:D$34)</f>
        <v>8.7800000000000003E-2</v>
      </c>
      <c r="E247" s="7" t="e">
        <f t="shared" si="27"/>
        <v>#DIV/0!</v>
      </c>
      <c r="F247" s="7" t="e">
        <f t="shared" si="27"/>
        <v>#DIV/0!</v>
      </c>
      <c r="G247" s="7" t="e">
        <f t="shared" si="27"/>
        <v>#DIV/0!</v>
      </c>
      <c r="H247" s="7" t="e">
        <f t="shared" si="27"/>
        <v>#DIV/0!</v>
      </c>
      <c r="I247" s="7" t="e">
        <f t="shared" si="27"/>
        <v>#DIV/0!</v>
      </c>
      <c r="J247" s="7" t="e">
        <f t="shared" si="27"/>
        <v>#DIV/0!</v>
      </c>
      <c r="K247" s="7" t="e">
        <f t="shared" si="27"/>
        <v>#DIV/0!</v>
      </c>
      <c r="L247" s="7" t="e">
        <f t="shared" si="27"/>
        <v>#DIV/0!</v>
      </c>
    </row>
    <row r="248" spans="2:12" ht="14.5" customHeight="1">
      <c r="B248" s="51"/>
      <c r="C248" s="15" t="s">
        <v>31</v>
      </c>
      <c r="D248" s="7">
        <f t="shared" ref="D248:L248" si="28">D33*100%/SUM(D$30:D$34)</f>
        <v>0.30409999999999998</v>
      </c>
      <c r="E248" s="7" t="e">
        <f t="shared" si="28"/>
        <v>#DIV/0!</v>
      </c>
      <c r="F248" s="7" t="e">
        <f t="shared" si="28"/>
        <v>#DIV/0!</v>
      </c>
      <c r="G248" s="7" t="e">
        <f t="shared" si="28"/>
        <v>#DIV/0!</v>
      </c>
      <c r="H248" s="7" t="e">
        <f t="shared" si="28"/>
        <v>#DIV/0!</v>
      </c>
      <c r="I248" s="7" t="e">
        <f t="shared" si="28"/>
        <v>#DIV/0!</v>
      </c>
      <c r="J248" s="7" t="e">
        <f t="shared" si="28"/>
        <v>#DIV/0!</v>
      </c>
      <c r="K248" s="7" t="e">
        <f t="shared" si="28"/>
        <v>#DIV/0!</v>
      </c>
      <c r="L248" s="7" t="e">
        <f t="shared" si="28"/>
        <v>#DIV/0!</v>
      </c>
    </row>
    <row r="249" spans="2:12" ht="14.5" customHeight="1" thickBot="1">
      <c r="B249" s="52"/>
      <c r="C249" s="15" t="s">
        <v>32</v>
      </c>
      <c r="D249" s="8">
        <f t="shared" ref="D249:L249" si="29">D34*100%/SUM(D$30:D$34)</f>
        <v>0.2354</v>
      </c>
      <c r="E249" s="8" t="e">
        <f t="shared" si="29"/>
        <v>#DIV/0!</v>
      </c>
      <c r="F249" s="8" t="e">
        <f t="shared" si="29"/>
        <v>#DIV/0!</v>
      </c>
      <c r="G249" s="8" t="e">
        <f t="shared" si="29"/>
        <v>#DIV/0!</v>
      </c>
      <c r="H249" s="8" t="e">
        <f t="shared" si="29"/>
        <v>#DIV/0!</v>
      </c>
      <c r="I249" s="8" t="e">
        <f t="shared" si="29"/>
        <v>#DIV/0!</v>
      </c>
      <c r="J249" s="8" t="e">
        <f t="shared" si="29"/>
        <v>#DIV/0!</v>
      </c>
      <c r="K249" s="8" t="e">
        <f t="shared" si="29"/>
        <v>#DIV/0!</v>
      </c>
      <c r="L249" s="8" t="e">
        <f t="shared" si="29"/>
        <v>#DIV/0!</v>
      </c>
    </row>
    <row r="250" spans="2:12" ht="14.5" customHeight="1" thickBot="1">
      <c r="B250" s="50" t="s">
        <v>33</v>
      </c>
      <c r="C250" s="20" t="s">
        <v>34</v>
      </c>
      <c r="D250" s="6">
        <f t="shared" ref="D250:L250" si="30">D35*100%/SUM(D$35:D$38)</f>
        <v>0.19419999999999998</v>
      </c>
      <c r="E250" s="6" t="e">
        <f t="shared" si="30"/>
        <v>#DIV/0!</v>
      </c>
      <c r="F250" s="6" t="e">
        <f t="shared" si="30"/>
        <v>#DIV/0!</v>
      </c>
      <c r="G250" s="6" t="e">
        <f t="shared" si="30"/>
        <v>#DIV/0!</v>
      </c>
      <c r="H250" s="6" t="e">
        <f t="shared" si="30"/>
        <v>#DIV/0!</v>
      </c>
      <c r="I250" s="6" t="e">
        <f t="shared" si="30"/>
        <v>#DIV/0!</v>
      </c>
      <c r="J250" s="6" t="e">
        <f t="shared" si="30"/>
        <v>#DIV/0!</v>
      </c>
      <c r="K250" s="6" t="e">
        <f t="shared" si="30"/>
        <v>#DIV/0!</v>
      </c>
      <c r="L250" s="6" t="e">
        <f t="shared" si="30"/>
        <v>#DIV/0!</v>
      </c>
    </row>
    <row r="251" spans="2:12" ht="14.5" customHeight="1">
      <c r="B251" s="51"/>
      <c r="C251" s="18" t="s">
        <v>35</v>
      </c>
      <c r="D251" s="7">
        <f t="shared" ref="D251:L251" si="31">D36*100%/SUM(D$35:D$38)</f>
        <v>0.2087</v>
      </c>
      <c r="E251" s="7" t="e">
        <f t="shared" si="31"/>
        <v>#DIV/0!</v>
      </c>
      <c r="F251" s="7" t="e">
        <f t="shared" si="31"/>
        <v>#DIV/0!</v>
      </c>
      <c r="G251" s="7" t="e">
        <f t="shared" si="31"/>
        <v>#DIV/0!</v>
      </c>
      <c r="H251" s="7" t="e">
        <f t="shared" si="31"/>
        <v>#DIV/0!</v>
      </c>
      <c r="I251" s="7" t="e">
        <f t="shared" si="31"/>
        <v>#DIV/0!</v>
      </c>
      <c r="J251" s="7" t="e">
        <f t="shared" si="31"/>
        <v>#DIV/0!</v>
      </c>
      <c r="K251" s="7" t="e">
        <f t="shared" si="31"/>
        <v>#DIV/0!</v>
      </c>
      <c r="L251" s="7" t="e">
        <f t="shared" si="31"/>
        <v>#DIV/0!</v>
      </c>
    </row>
    <row r="252" spans="2:12" ht="14.5" customHeight="1">
      <c r="B252" s="51"/>
      <c r="C252" s="18" t="s">
        <v>36</v>
      </c>
      <c r="D252" s="7">
        <f t="shared" ref="D252:L252" si="32">D37*100%/SUM(D$35:D$38)</f>
        <v>7.5900000000000009E-2</v>
      </c>
      <c r="E252" s="7" t="e">
        <f t="shared" si="32"/>
        <v>#DIV/0!</v>
      </c>
      <c r="F252" s="7" t="e">
        <f t="shared" si="32"/>
        <v>#DIV/0!</v>
      </c>
      <c r="G252" s="7" t="e">
        <f t="shared" si="32"/>
        <v>#DIV/0!</v>
      </c>
      <c r="H252" s="7" t="e">
        <f t="shared" si="32"/>
        <v>#DIV/0!</v>
      </c>
      <c r="I252" s="7" t="e">
        <f t="shared" si="32"/>
        <v>#DIV/0!</v>
      </c>
      <c r="J252" s="7" t="e">
        <f t="shared" si="32"/>
        <v>#DIV/0!</v>
      </c>
      <c r="K252" s="7" t="e">
        <f t="shared" si="32"/>
        <v>#DIV/0!</v>
      </c>
      <c r="L252" s="7" t="e">
        <f t="shared" si="32"/>
        <v>#DIV/0!</v>
      </c>
    </row>
    <row r="253" spans="2:12" ht="14.5" customHeight="1" thickBot="1">
      <c r="B253" s="52"/>
      <c r="C253" s="18" t="s">
        <v>37</v>
      </c>
      <c r="D253" s="8">
        <f t="shared" ref="D253:L253" si="33">D38*100%/SUM(D$35:D$38)</f>
        <v>0.5212</v>
      </c>
      <c r="E253" s="8" t="e">
        <f t="shared" si="33"/>
        <v>#DIV/0!</v>
      </c>
      <c r="F253" s="8" t="e">
        <f t="shared" si="33"/>
        <v>#DIV/0!</v>
      </c>
      <c r="G253" s="8" t="e">
        <f t="shared" si="33"/>
        <v>#DIV/0!</v>
      </c>
      <c r="H253" s="8" t="e">
        <f t="shared" si="33"/>
        <v>#DIV/0!</v>
      </c>
      <c r="I253" s="8" t="e">
        <f t="shared" si="33"/>
        <v>#DIV/0!</v>
      </c>
      <c r="J253" s="8" t="e">
        <f t="shared" si="33"/>
        <v>#DIV/0!</v>
      </c>
      <c r="K253" s="8" t="e">
        <f t="shared" si="33"/>
        <v>#DIV/0!</v>
      </c>
      <c r="L253" s="8" t="e">
        <f t="shared" si="33"/>
        <v>#DIV/0!</v>
      </c>
    </row>
    <row r="254" spans="2:12" ht="14.5" customHeight="1" thickBot="1">
      <c r="B254" s="50" t="s">
        <v>38</v>
      </c>
      <c r="C254" s="13" t="s">
        <v>39</v>
      </c>
      <c r="D254" s="6">
        <f t="shared" ref="D254:L254" si="34">D39*100%/SUM(D$39:D$44)</f>
        <v>1.4E-3</v>
      </c>
      <c r="E254" s="6" t="e">
        <f t="shared" si="34"/>
        <v>#DIV/0!</v>
      </c>
      <c r="F254" s="6" t="e">
        <f t="shared" si="34"/>
        <v>#DIV/0!</v>
      </c>
      <c r="G254" s="6" t="e">
        <f t="shared" si="34"/>
        <v>#DIV/0!</v>
      </c>
      <c r="H254" s="6" t="e">
        <f t="shared" si="34"/>
        <v>#DIV/0!</v>
      </c>
      <c r="I254" s="6" t="e">
        <f t="shared" si="34"/>
        <v>#DIV/0!</v>
      </c>
      <c r="J254" s="6" t="e">
        <f t="shared" si="34"/>
        <v>#DIV/0!</v>
      </c>
      <c r="K254" s="6" t="e">
        <f t="shared" si="34"/>
        <v>#DIV/0!</v>
      </c>
      <c r="L254" s="6" t="e">
        <f t="shared" si="34"/>
        <v>#DIV/0!</v>
      </c>
    </row>
    <row r="255" spans="2:12" ht="14.5" customHeight="1">
      <c r="B255" s="51"/>
      <c r="C255" s="15" t="s">
        <v>40</v>
      </c>
      <c r="D255" s="7">
        <f t="shared" ref="D255:L255" si="35">D40*100%/SUM(D$39:D$44)</f>
        <v>1.6000000000000001E-3</v>
      </c>
      <c r="E255" s="7" t="e">
        <f t="shared" si="35"/>
        <v>#DIV/0!</v>
      </c>
      <c r="F255" s="7" t="e">
        <f t="shared" si="35"/>
        <v>#DIV/0!</v>
      </c>
      <c r="G255" s="7" t="e">
        <f t="shared" si="35"/>
        <v>#DIV/0!</v>
      </c>
      <c r="H255" s="7" t="e">
        <f t="shared" si="35"/>
        <v>#DIV/0!</v>
      </c>
      <c r="I255" s="7" t="e">
        <f t="shared" si="35"/>
        <v>#DIV/0!</v>
      </c>
      <c r="J255" s="7" t="e">
        <f t="shared" si="35"/>
        <v>#DIV/0!</v>
      </c>
      <c r="K255" s="7" t="e">
        <f t="shared" si="35"/>
        <v>#DIV/0!</v>
      </c>
      <c r="L255" s="7" t="e">
        <f t="shared" si="35"/>
        <v>#DIV/0!</v>
      </c>
    </row>
    <row r="256" spans="2:12" ht="14.5" customHeight="1">
      <c r="B256" s="51"/>
      <c r="C256" s="15" t="s">
        <v>41</v>
      </c>
      <c r="D256" s="7">
        <f t="shared" ref="D256:L256" si="36">D41*100%/SUM(D$39:D$44)</f>
        <v>2.92E-2</v>
      </c>
      <c r="E256" s="7" t="e">
        <f t="shared" si="36"/>
        <v>#DIV/0!</v>
      </c>
      <c r="F256" s="7" t="e">
        <f t="shared" si="36"/>
        <v>#DIV/0!</v>
      </c>
      <c r="G256" s="7" t="e">
        <f t="shared" si="36"/>
        <v>#DIV/0!</v>
      </c>
      <c r="H256" s="7" t="e">
        <f t="shared" si="36"/>
        <v>#DIV/0!</v>
      </c>
      <c r="I256" s="7" t="e">
        <f t="shared" si="36"/>
        <v>#DIV/0!</v>
      </c>
      <c r="J256" s="7" t="e">
        <f t="shared" si="36"/>
        <v>#DIV/0!</v>
      </c>
      <c r="K256" s="7" t="e">
        <f t="shared" si="36"/>
        <v>#DIV/0!</v>
      </c>
      <c r="L256" s="7" t="e">
        <f t="shared" si="36"/>
        <v>#DIV/0!</v>
      </c>
    </row>
    <row r="257" spans="2:12" ht="14.5" customHeight="1">
      <c r="B257" s="51"/>
      <c r="C257" s="15" t="s">
        <v>42</v>
      </c>
      <c r="D257" s="7">
        <f t="shared" ref="D257:L257" si="37">D42*100%/SUM(D$39:D$44)</f>
        <v>0.1774</v>
      </c>
      <c r="E257" s="7" t="e">
        <f t="shared" si="37"/>
        <v>#DIV/0!</v>
      </c>
      <c r="F257" s="7" t="e">
        <f t="shared" si="37"/>
        <v>#DIV/0!</v>
      </c>
      <c r="G257" s="7" t="e">
        <f t="shared" si="37"/>
        <v>#DIV/0!</v>
      </c>
      <c r="H257" s="7" t="e">
        <f t="shared" si="37"/>
        <v>#DIV/0!</v>
      </c>
      <c r="I257" s="7" t="e">
        <f t="shared" si="37"/>
        <v>#DIV/0!</v>
      </c>
      <c r="J257" s="7" t="e">
        <f t="shared" si="37"/>
        <v>#DIV/0!</v>
      </c>
      <c r="K257" s="7" t="e">
        <f t="shared" si="37"/>
        <v>#DIV/0!</v>
      </c>
      <c r="L257" s="7" t="e">
        <f t="shared" si="37"/>
        <v>#DIV/0!</v>
      </c>
    </row>
    <row r="258" spans="2:12" ht="14.5" customHeight="1">
      <c r="B258" s="51"/>
      <c r="C258" s="15" t="s">
        <v>43</v>
      </c>
      <c r="D258" s="7">
        <f t="shared" ref="D258:L258" si="38">D43*100%/SUM(D$39:D$44)</f>
        <v>0.32399999999999995</v>
      </c>
      <c r="E258" s="7" t="e">
        <f t="shared" si="38"/>
        <v>#DIV/0!</v>
      </c>
      <c r="F258" s="7" t="e">
        <f t="shared" si="38"/>
        <v>#DIV/0!</v>
      </c>
      <c r="G258" s="7" t="e">
        <f t="shared" si="38"/>
        <v>#DIV/0!</v>
      </c>
      <c r="H258" s="7" t="e">
        <f t="shared" si="38"/>
        <v>#DIV/0!</v>
      </c>
      <c r="I258" s="7" t="e">
        <f t="shared" si="38"/>
        <v>#DIV/0!</v>
      </c>
      <c r="J258" s="7" t="e">
        <f t="shared" si="38"/>
        <v>#DIV/0!</v>
      </c>
      <c r="K258" s="7" t="e">
        <f t="shared" si="38"/>
        <v>#DIV/0!</v>
      </c>
      <c r="L258" s="7" t="e">
        <f t="shared" si="38"/>
        <v>#DIV/0!</v>
      </c>
    </row>
    <row r="259" spans="2:12" ht="14.5" customHeight="1" thickBot="1">
      <c r="B259" s="52"/>
      <c r="C259" s="15" t="s">
        <v>44</v>
      </c>
      <c r="D259" s="8">
        <f t="shared" ref="D259:L259" si="39">D44*100%/SUM(D$39:D$44)</f>
        <v>0.46639999999999998</v>
      </c>
      <c r="E259" s="8" t="e">
        <f t="shared" si="39"/>
        <v>#DIV/0!</v>
      </c>
      <c r="F259" s="8" t="e">
        <f t="shared" si="39"/>
        <v>#DIV/0!</v>
      </c>
      <c r="G259" s="8" t="e">
        <f t="shared" si="39"/>
        <v>#DIV/0!</v>
      </c>
      <c r="H259" s="8" t="e">
        <f t="shared" si="39"/>
        <v>#DIV/0!</v>
      </c>
      <c r="I259" s="8" t="e">
        <f t="shared" si="39"/>
        <v>#DIV/0!</v>
      </c>
      <c r="J259" s="8" t="e">
        <f t="shared" si="39"/>
        <v>#DIV/0!</v>
      </c>
      <c r="K259" s="8" t="e">
        <f t="shared" si="39"/>
        <v>#DIV/0!</v>
      </c>
      <c r="L259" s="8" t="e">
        <f t="shared" si="39"/>
        <v>#DIV/0!</v>
      </c>
    </row>
    <row r="260" spans="2:12" ht="14.5" customHeight="1" thickBot="1">
      <c r="B260" s="50" t="s">
        <v>45</v>
      </c>
      <c r="C260" s="22" t="s">
        <v>34</v>
      </c>
      <c r="D260" s="26">
        <f t="shared" ref="D260:L260" si="40">D45*100%/SUM(D$45:D$48)</f>
        <v>0.15588441155884411</v>
      </c>
      <c r="E260" s="6" t="e">
        <f t="shared" si="40"/>
        <v>#DIV/0!</v>
      </c>
      <c r="F260" s="6" t="e">
        <f t="shared" si="40"/>
        <v>#DIV/0!</v>
      </c>
      <c r="G260" s="6" t="e">
        <f t="shared" si="40"/>
        <v>#DIV/0!</v>
      </c>
      <c r="H260" s="6" t="e">
        <f t="shared" si="40"/>
        <v>#DIV/0!</v>
      </c>
      <c r="I260" s="6" t="e">
        <f t="shared" si="40"/>
        <v>#DIV/0!</v>
      </c>
      <c r="J260" s="6" t="e">
        <f t="shared" si="40"/>
        <v>#DIV/0!</v>
      </c>
      <c r="K260" s="6" t="e">
        <f t="shared" si="40"/>
        <v>#DIV/0!</v>
      </c>
      <c r="L260" s="6" t="e">
        <f t="shared" si="40"/>
        <v>#DIV/0!</v>
      </c>
    </row>
    <row r="261" spans="2:12" ht="14.5" customHeight="1">
      <c r="B261" s="51"/>
      <c r="C261" s="29" t="s">
        <v>35</v>
      </c>
      <c r="D261" s="27">
        <f t="shared" ref="D261:L261" si="41">D46*100%/SUM(D$45:D$48)</f>
        <v>0.20707929207079293</v>
      </c>
      <c r="E261" s="7" t="e">
        <f t="shared" si="41"/>
        <v>#DIV/0!</v>
      </c>
      <c r="F261" s="7" t="e">
        <f t="shared" si="41"/>
        <v>#DIV/0!</v>
      </c>
      <c r="G261" s="7" t="e">
        <f t="shared" si="41"/>
        <v>#DIV/0!</v>
      </c>
      <c r="H261" s="7" t="e">
        <f t="shared" si="41"/>
        <v>#DIV/0!</v>
      </c>
      <c r="I261" s="7" t="e">
        <f t="shared" si="41"/>
        <v>#DIV/0!</v>
      </c>
      <c r="J261" s="7" t="e">
        <f t="shared" si="41"/>
        <v>#DIV/0!</v>
      </c>
      <c r="K261" s="7" t="e">
        <f t="shared" si="41"/>
        <v>#DIV/0!</v>
      </c>
      <c r="L261" s="7" t="e">
        <f t="shared" si="41"/>
        <v>#DIV/0!</v>
      </c>
    </row>
    <row r="262" spans="2:12" ht="14.5" customHeight="1">
      <c r="B262" s="51"/>
      <c r="C262" s="29" t="s">
        <v>36</v>
      </c>
      <c r="D262" s="27">
        <f t="shared" ref="D262:L262" si="42">D47*100%/SUM(D$45:D$48)</f>
        <v>7.3992600739926001E-2</v>
      </c>
      <c r="E262" s="7" t="e">
        <f t="shared" si="42"/>
        <v>#DIV/0!</v>
      </c>
      <c r="F262" s="7" t="e">
        <f t="shared" si="42"/>
        <v>#DIV/0!</v>
      </c>
      <c r="G262" s="7" t="e">
        <f t="shared" si="42"/>
        <v>#DIV/0!</v>
      </c>
      <c r="H262" s="7" t="e">
        <f t="shared" si="42"/>
        <v>#DIV/0!</v>
      </c>
      <c r="I262" s="7" t="e">
        <f t="shared" si="42"/>
        <v>#DIV/0!</v>
      </c>
      <c r="J262" s="7" t="e">
        <f t="shared" si="42"/>
        <v>#DIV/0!</v>
      </c>
      <c r="K262" s="7" t="e">
        <f t="shared" si="42"/>
        <v>#DIV/0!</v>
      </c>
      <c r="L262" s="7" t="e">
        <f t="shared" si="42"/>
        <v>#DIV/0!</v>
      </c>
    </row>
    <row r="263" spans="2:12" ht="14.5" customHeight="1" thickBot="1">
      <c r="B263" s="52"/>
      <c r="C263" s="30" t="s">
        <v>37</v>
      </c>
      <c r="D263" s="28">
        <f t="shared" ref="D263:L263" si="43">D48*100%/SUM(D$45:D$48)</f>
        <v>0.56304369563043699</v>
      </c>
      <c r="E263" s="8" t="e">
        <f t="shared" si="43"/>
        <v>#DIV/0!</v>
      </c>
      <c r="F263" s="8" t="e">
        <f t="shared" si="43"/>
        <v>#DIV/0!</v>
      </c>
      <c r="G263" s="8" t="e">
        <f t="shared" si="43"/>
        <v>#DIV/0!</v>
      </c>
      <c r="H263" s="8" t="e">
        <f t="shared" si="43"/>
        <v>#DIV/0!</v>
      </c>
      <c r="I263" s="8" t="e">
        <f t="shared" si="43"/>
        <v>#DIV/0!</v>
      </c>
      <c r="J263" s="8" t="e">
        <f t="shared" si="43"/>
        <v>#DIV/0!</v>
      </c>
      <c r="K263" s="8" t="e">
        <f t="shared" si="43"/>
        <v>#DIV/0!</v>
      </c>
      <c r="L263" s="8" t="e">
        <f t="shared" si="43"/>
        <v>#DIV/0!</v>
      </c>
    </row>
    <row r="264" spans="2:12" ht="14.5" customHeight="1">
      <c r="C264" s="25" t="s">
        <v>4</v>
      </c>
      <c r="D264" s="10">
        <f t="shared" ref="D264:L264" si="44">SUM(D6:D8)</f>
        <v>1</v>
      </c>
      <c r="E264" s="10">
        <f t="shared" si="44"/>
        <v>0</v>
      </c>
      <c r="F264" s="10">
        <f t="shared" si="44"/>
        <v>0</v>
      </c>
      <c r="G264" s="10">
        <f t="shared" si="44"/>
        <v>0</v>
      </c>
      <c r="H264" s="10">
        <f t="shared" si="44"/>
        <v>0</v>
      </c>
      <c r="I264" s="10">
        <f t="shared" si="44"/>
        <v>0</v>
      </c>
      <c r="J264" s="10">
        <f t="shared" si="44"/>
        <v>0</v>
      </c>
      <c r="K264" s="10">
        <f t="shared" si="44"/>
        <v>0</v>
      </c>
      <c r="L264" s="10">
        <f t="shared" si="44"/>
        <v>0</v>
      </c>
    </row>
    <row r="265" spans="2:12" ht="14.5" customHeight="1">
      <c r="C265" s="25" t="s">
        <v>8</v>
      </c>
      <c r="D265" s="11">
        <f t="shared" ref="D265:L265" si="45">SUM(D10:D16)</f>
        <v>0.9998999999999999</v>
      </c>
      <c r="E265" s="11">
        <f t="shared" si="45"/>
        <v>0</v>
      </c>
      <c r="F265" s="11">
        <f t="shared" si="45"/>
        <v>0</v>
      </c>
      <c r="G265" s="11">
        <f t="shared" si="45"/>
        <v>0</v>
      </c>
      <c r="H265" s="11">
        <f t="shared" si="45"/>
        <v>0</v>
      </c>
      <c r="I265" s="11">
        <f t="shared" si="45"/>
        <v>0</v>
      </c>
      <c r="J265" s="11">
        <f t="shared" si="45"/>
        <v>0</v>
      </c>
      <c r="K265" s="11">
        <f t="shared" si="45"/>
        <v>0</v>
      </c>
      <c r="L265" s="11">
        <f t="shared" si="45"/>
        <v>0</v>
      </c>
    </row>
    <row r="266" spans="2:12" ht="15" customHeight="1">
      <c r="C266" s="25" t="s">
        <v>17</v>
      </c>
      <c r="D266" s="11">
        <f t="shared" ref="D266:L266" si="46">SUM(D17:D23)</f>
        <v>1</v>
      </c>
      <c r="E266" s="11">
        <f t="shared" si="46"/>
        <v>0</v>
      </c>
      <c r="F266" s="11">
        <f t="shared" si="46"/>
        <v>0</v>
      </c>
      <c r="G266" s="11">
        <f t="shared" si="46"/>
        <v>0</v>
      </c>
      <c r="H266" s="11">
        <f t="shared" si="46"/>
        <v>0</v>
      </c>
      <c r="I266" s="11">
        <f t="shared" si="46"/>
        <v>0</v>
      </c>
      <c r="J266" s="11">
        <f t="shared" si="46"/>
        <v>0</v>
      </c>
      <c r="K266" s="11">
        <f t="shared" si="46"/>
        <v>0</v>
      </c>
      <c r="L266" s="11">
        <f t="shared" si="46"/>
        <v>0</v>
      </c>
    </row>
    <row r="267" spans="2:12" ht="15" customHeight="1">
      <c r="C267" s="25" t="s">
        <v>25</v>
      </c>
      <c r="D267" s="11">
        <f t="shared" ref="D267:L267" si="47">SUM(D24:D29)</f>
        <v>0.99999999999999989</v>
      </c>
      <c r="E267" s="11">
        <f t="shared" si="47"/>
        <v>0</v>
      </c>
      <c r="F267" s="11">
        <f t="shared" si="47"/>
        <v>0</v>
      </c>
      <c r="G267" s="11">
        <f t="shared" si="47"/>
        <v>0</v>
      </c>
      <c r="H267" s="11">
        <f t="shared" si="47"/>
        <v>0</v>
      </c>
      <c r="I267" s="11">
        <f t="shared" si="47"/>
        <v>0</v>
      </c>
      <c r="J267" s="11">
        <f t="shared" si="47"/>
        <v>0</v>
      </c>
      <c r="K267" s="11">
        <f t="shared" si="47"/>
        <v>0</v>
      </c>
      <c r="L267" s="11">
        <f t="shared" si="47"/>
        <v>0</v>
      </c>
    </row>
    <row r="268" spans="2:12" ht="15" customHeight="1">
      <c r="C268" s="25" t="s">
        <v>27</v>
      </c>
      <c r="D268" s="11">
        <f t="shared" ref="D268:L268" si="48">SUM(D30:D34)</f>
        <v>1</v>
      </c>
      <c r="E268" s="11">
        <f t="shared" si="48"/>
        <v>0</v>
      </c>
      <c r="F268" s="11">
        <f t="shared" si="48"/>
        <v>0</v>
      </c>
      <c r="G268" s="11">
        <f t="shared" si="48"/>
        <v>0</v>
      </c>
      <c r="H268" s="11">
        <f t="shared" si="48"/>
        <v>0</v>
      </c>
      <c r="I268" s="11">
        <f t="shared" si="48"/>
        <v>0</v>
      </c>
      <c r="J268" s="11">
        <f t="shared" si="48"/>
        <v>0</v>
      </c>
      <c r="K268" s="11">
        <f t="shared" si="48"/>
        <v>0</v>
      </c>
      <c r="L268" s="11">
        <f t="shared" si="48"/>
        <v>0</v>
      </c>
    </row>
    <row r="269" spans="2:12" ht="16" customHeight="1">
      <c r="C269" s="25" t="s">
        <v>33</v>
      </c>
      <c r="D269" s="11">
        <f t="shared" ref="D269:L269" si="49">SUM(D35:D38)</f>
        <v>1</v>
      </c>
      <c r="E269" s="11">
        <f t="shared" si="49"/>
        <v>0</v>
      </c>
      <c r="F269" s="11">
        <f t="shared" si="49"/>
        <v>0</v>
      </c>
      <c r="G269" s="11">
        <f t="shared" si="49"/>
        <v>0</v>
      </c>
      <c r="H269" s="11">
        <f t="shared" si="49"/>
        <v>0</v>
      </c>
      <c r="I269" s="11">
        <f t="shared" si="49"/>
        <v>0</v>
      </c>
      <c r="J269" s="11">
        <f t="shared" si="49"/>
        <v>0</v>
      </c>
      <c r="K269" s="11">
        <f t="shared" si="49"/>
        <v>0</v>
      </c>
      <c r="L269" s="11">
        <f t="shared" si="49"/>
        <v>0</v>
      </c>
    </row>
    <row r="270" spans="2:12" ht="16" customHeight="1">
      <c r="C270" s="25" t="s">
        <v>38</v>
      </c>
      <c r="D270" s="11">
        <f t="shared" ref="D270:L270" si="50">SUM(D39:D44)</f>
        <v>1</v>
      </c>
      <c r="E270" s="11">
        <f t="shared" si="50"/>
        <v>0</v>
      </c>
      <c r="F270" s="11">
        <f t="shared" si="50"/>
        <v>0</v>
      </c>
      <c r="G270" s="11">
        <f t="shared" si="50"/>
        <v>0</v>
      </c>
      <c r="H270" s="11">
        <f t="shared" si="50"/>
        <v>0</v>
      </c>
      <c r="I270" s="11">
        <f t="shared" si="50"/>
        <v>0</v>
      </c>
      <c r="J270" s="11">
        <f t="shared" si="50"/>
        <v>0</v>
      </c>
      <c r="K270" s="11">
        <f t="shared" si="50"/>
        <v>0</v>
      </c>
      <c r="L270" s="11">
        <f t="shared" si="50"/>
        <v>0</v>
      </c>
    </row>
    <row r="271" spans="2:12" ht="16" customHeight="1" thickBot="1">
      <c r="C271" s="25" t="s">
        <v>45</v>
      </c>
      <c r="D271" s="12">
        <f t="shared" ref="D271:L271" si="51">SUM(D45:D48)</f>
        <v>1.0001</v>
      </c>
      <c r="E271" s="12">
        <f t="shared" si="51"/>
        <v>0</v>
      </c>
      <c r="F271" s="12">
        <f t="shared" si="51"/>
        <v>0</v>
      </c>
      <c r="G271" s="12">
        <f t="shared" si="51"/>
        <v>0</v>
      </c>
      <c r="H271" s="12">
        <f t="shared" si="51"/>
        <v>0</v>
      </c>
      <c r="I271" s="12">
        <f t="shared" si="51"/>
        <v>0</v>
      </c>
      <c r="J271" s="12">
        <f t="shared" si="51"/>
        <v>0</v>
      </c>
      <c r="K271" s="12">
        <f t="shared" si="51"/>
        <v>0</v>
      </c>
      <c r="L271" s="12">
        <f t="shared" si="51"/>
        <v>0</v>
      </c>
    </row>
    <row r="272" spans="2:1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7" customHeight="1"/>
  </sheetData>
  <mergeCells count="33">
    <mergeCell ref="B155:B179"/>
    <mergeCell ref="B245:B249"/>
    <mergeCell ref="B87:B91"/>
    <mergeCell ref="B6:B8"/>
    <mergeCell ref="B260:B263"/>
    <mergeCell ref="B24:B29"/>
    <mergeCell ref="B254:B259"/>
    <mergeCell ref="B9:B16"/>
    <mergeCell ref="B232:B238"/>
    <mergeCell ref="B17:B23"/>
    <mergeCell ref="B68:B75"/>
    <mergeCell ref="B45:B48"/>
    <mergeCell ref="B111:B128"/>
    <mergeCell ref="B35:B38"/>
    <mergeCell ref="B250:B253"/>
    <mergeCell ref="B58:B67"/>
    <mergeCell ref="B239:B244"/>
    <mergeCell ref="B3:B4"/>
    <mergeCell ref="B224:B231"/>
    <mergeCell ref="B220:L220"/>
    <mergeCell ref="B92:B96"/>
    <mergeCell ref="B30:B34"/>
    <mergeCell ref="B136:B154"/>
    <mergeCell ref="B39:B44"/>
    <mergeCell ref="B129:B135"/>
    <mergeCell ref="B49:B57"/>
    <mergeCell ref="B221:B223"/>
    <mergeCell ref="B5:C5"/>
    <mergeCell ref="C3:C4"/>
    <mergeCell ref="B76:B86"/>
    <mergeCell ref="B97:B102"/>
    <mergeCell ref="B180:B214"/>
    <mergeCell ref="B103:B110"/>
  </mergeCells>
  <phoneticPr fontId="3" type="noConversion"/>
  <conditionalFormatting sqref="D10:D16">
    <cfRule type="dataBar" priority="18">
      <dataBar>
        <cfvo type="min"/>
        <cfvo type="max"/>
        <color rgb="FFFFB628"/>
      </dataBar>
    </cfRule>
  </conditionalFormatting>
  <conditionalFormatting sqref="D49:D214">
    <cfRule type="dataBar" priority="45">
      <dataBar>
        <cfvo type="min"/>
        <cfvo type="max"/>
        <color rgb="FFFFB628"/>
      </dataBar>
    </cfRule>
  </conditionalFormatting>
  <conditionalFormatting sqref="D6:L8 D10:L14">
    <cfRule type="dataBar" priority="73">
      <dataBar>
        <cfvo type="min"/>
        <cfvo type="max"/>
        <color rgb="FFFFB628"/>
      </dataBar>
    </cfRule>
  </conditionalFormatting>
  <conditionalFormatting sqref="D6:L8 D10:L214">
    <cfRule type="dataBar" priority="1">
      <dataBar>
        <cfvo type="min"/>
        <cfvo type="max"/>
        <color rgb="FFFFB628"/>
      </dataBar>
    </cfRule>
  </conditionalFormatting>
  <conditionalFormatting sqref="D6:L8 D10:L219">
    <cfRule type="dataBar" priority="93">
      <dataBar>
        <cfvo type="min"/>
        <cfvo type="max"/>
        <color rgb="FFFFB628"/>
      </dataBar>
    </cfRule>
  </conditionalFormatting>
  <conditionalFormatting sqref="D6:L8">
    <cfRule type="dataBar" priority="27">
      <dataBar>
        <cfvo type="min"/>
        <cfvo type="max"/>
        <color rgb="FFFFB628"/>
      </dataBar>
    </cfRule>
  </conditionalFormatting>
  <conditionalFormatting sqref="D10:L214">
    <cfRule type="dataBar" priority="28">
      <dataBar>
        <cfvo type="min"/>
        <cfvo type="max"/>
        <color rgb="FFFFB628"/>
      </dataBar>
    </cfRule>
  </conditionalFormatting>
  <conditionalFormatting sqref="D15:L34">
    <cfRule type="dataBar" priority="77">
      <dataBar>
        <cfvo type="min"/>
        <cfvo type="max"/>
        <color rgb="FFFFB628"/>
      </dataBar>
    </cfRule>
  </conditionalFormatting>
  <conditionalFormatting sqref="D35:L38">
    <cfRule type="dataBar" priority="78">
      <dataBar>
        <cfvo type="min"/>
        <cfvo type="max"/>
        <color rgb="FFFFB628"/>
      </dataBar>
    </cfRule>
  </conditionalFormatting>
  <conditionalFormatting sqref="D39:L44">
    <cfRule type="dataBar" priority="79">
      <dataBar>
        <cfvo type="min"/>
        <cfvo type="max"/>
        <color rgb="FFFFB628"/>
      </dataBar>
    </cfRule>
  </conditionalFormatting>
  <conditionalFormatting sqref="D45:L48">
    <cfRule type="dataBar" priority="80">
      <dataBar>
        <cfvo type="min"/>
        <cfvo type="max"/>
        <color rgb="FFFFB628"/>
      </dataBar>
    </cfRule>
  </conditionalFormatting>
  <conditionalFormatting sqref="D49:L219">
    <cfRule type="dataBar" priority="96">
      <dataBar>
        <cfvo type="min"/>
        <cfvo type="max"/>
        <color rgb="FFFFB628"/>
      </dataBar>
    </cfRule>
  </conditionalFormatting>
  <conditionalFormatting sqref="D221:L223 D225:L263">
    <cfRule type="dataBar" priority="83">
      <dataBar>
        <cfvo type="min"/>
        <cfvo type="max"/>
        <color rgb="FFFFB628"/>
      </dataBar>
    </cfRule>
  </conditionalFormatting>
  <conditionalFormatting sqref="D264:L271">
    <cfRule type="cellIs" dxfId="1" priority="48" operator="lessThan">
      <formula>0.9</formula>
    </cfRule>
    <cfRule type="cellIs" dxfId="0" priority="49" operator="equal">
      <formula>"矫正"</formula>
    </cfRule>
  </conditionalFormatting>
  <conditionalFormatting sqref="E10:E16">
    <cfRule type="dataBar" priority="16">
      <dataBar>
        <cfvo type="min"/>
        <cfvo type="max"/>
        <color rgb="FFFFB628"/>
      </dataBar>
    </cfRule>
  </conditionalFormatting>
  <conditionalFormatting sqref="E49:E214">
    <cfRule type="dataBar" priority="17">
      <dataBar>
        <cfvo type="min"/>
        <cfvo type="max"/>
        <color rgb="FFFFB628"/>
      </dataBar>
    </cfRule>
  </conditionalFormatting>
  <conditionalFormatting sqref="F10:F16">
    <cfRule type="dataBar" priority="14">
      <dataBar>
        <cfvo type="min"/>
        <cfvo type="max"/>
        <color rgb="FFFFB628"/>
      </dataBar>
    </cfRule>
  </conditionalFormatting>
  <conditionalFormatting sqref="F49:F214">
    <cfRule type="dataBar" priority="15">
      <dataBar>
        <cfvo type="min"/>
        <cfvo type="max"/>
        <color rgb="FFFFB628"/>
      </dataBar>
    </cfRule>
  </conditionalFormatting>
  <conditionalFormatting sqref="G10:G16">
    <cfRule type="dataBar" priority="12">
      <dataBar>
        <cfvo type="min"/>
        <cfvo type="max"/>
        <color rgb="FFFFB628"/>
      </dataBar>
    </cfRule>
  </conditionalFormatting>
  <conditionalFormatting sqref="G49:G214">
    <cfRule type="dataBar" priority="13">
      <dataBar>
        <cfvo type="min"/>
        <cfvo type="max"/>
        <color rgb="FFFFB628"/>
      </dataBar>
    </cfRule>
  </conditionalFormatting>
  <conditionalFormatting sqref="H10:H16">
    <cfRule type="dataBar" priority="10">
      <dataBar>
        <cfvo type="min"/>
        <cfvo type="max"/>
        <color rgb="FFFFB628"/>
      </dataBar>
    </cfRule>
  </conditionalFormatting>
  <conditionalFormatting sqref="H49:H214">
    <cfRule type="dataBar" priority="11">
      <dataBar>
        <cfvo type="min"/>
        <cfvo type="max"/>
        <color rgb="FFFFB628"/>
      </dataBar>
    </cfRule>
  </conditionalFormatting>
  <conditionalFormatting sqref="I10:I16">
    <cfRule type="dataBar" priority="8">
      <dataBar>
        <cfvo type="min"/>
        <cfvo type="max"/>
        <color rgb="FFFFB628"/>
      </dataBar>
    </cfRule>
  </conditionalFormatting>
  <conditionalFormatting sqref="I49:I214">
    <cfRule type="dataBar" priority="9">
      <dataBar>
        <cfvo type="min"/>
        <cfvo type="max"/>
        <color rgb="FFFFB628"/>
      </dataBar>
    </cfRule>
  </conditionalFormatting>
  <conditionalFormatting sqref="J10:J16">
    <cfRule type="dataBar" priority="6">
      <dataBar>
        <cfvo type="min"/>
        <cfvo type="max"/>
        <color rgb="FFFFB628"/>
      </dataBar>
    </cfRule>
  </conditionalFormatting>
  <conditionalFormatting sqref="J49:J214">
    <cfRule type="dataBar" priority="7">
      <dataBar>
        <cfvo type="min"/>
        <cfvo type="max"/>
        <color rgb="FFFFB628"/>
      </dataBar>
    </cfRule>
  </conditionalFormatting>
  <conditionalFormatting sqref="K10:K16">
    <cfRule type="dataBar" priority="4">
      <dataBar>
        <cfvo type="min"/>
        <cfvo type="max"/>
        <color rgb="FFFFB628"/>
      </dataBar>
    </cfRule>
  </conditionalFormatting>
  <conditionalFormatting sqref="K49:K214">
    <cfRule type="dataBar" priority="5">
      <dataBar>
        <cfvo type="min"/>
        <cfvo type="max"/>
        <color rgb="FFFFB628"/>
      </dataBar>
    </cfRule>
  </conditionalFormatting>
  <conditionalFormatting sqref="L10:L16">
    <cfRule type="dataBar" priority="2">
      <dataBar>
        <cfvo type="min"/>
        <cfvo type="max"/>
        <color rgb="FFFFB628"/>
      </dataBar>
    </cfRule>
  </conditionalFormatting>
  <conditionalFormatting sqref="L49:L214">
    <cfRule type="dataBar" priority="3">
      <dataBar>
        <cfvo type="min"/>
        <cfvo type="max"/>
        <color rgb="FFFFB628"/>
      </dataBar>
    </cfRule>
  </conditionalFormatting>
  <pageMargins left="0.7" right="0.7" top="0.75" bottom="0.75" header="0.3" footer="0.3"/>
  <pageSetup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36"/>
  <sheetViews>
    <sheetView workbookViewId="0"/>
  </sheetViews>
  <sheetFormatPr defaultRowHeight="14"/>
  <sheetData>
    <row r="1" spans="1:2">
      <c r="A1" s="47" t="s">
        <v>213</v>
      </c>
      <c r="B1" s="47" t="s">
        <v>214</v>
      </c>
    </row>
    <row r="2" spans="1:2">
      <c r="A2" t="s">
        <v>215</v>
      </c>
      <c r="B2">
        <v>42410</v>
      </c>
    </row>
    <row r="3" spans="1:2">
      <c r="A3" t="s">
        <v>216</v>
      </c>
      <c r="B3">
        <v>4.2599999999999999E-2</v>
      </c>
    </row>
    <row r="4" spans="1:2">
      <c r="A4" t="s">
        <v>217</v>
      </c>
      <c r="B4">
        <v>0.95660000000000001</v>
      </c>
    </row>
    <row r="5" spans="1:2">
      <c r="A5" t="s">
        <v>7</v>
      </c>
      <c r="B5">
        <v>8.0000000000000004E-4</v>
      </c>
    </row>
    <row r="6" spans="1:2">
      <c r="A6" t="s">
        <v>218</v>
      </c>
      <c r="B6">
        <v>0.2382</v>
      </c>
    </row>
    <row r="7" spans="1:2">
      <c r="A7" t="s">
        <v>219</v>
      </c>
      <c r="B7">
        <v>0.38069999999999998</v>
      </c>
    </row>
    <row r="8" spans="1:2">
      <c r="A8" t="s">
        <v>220</v>
      </c>
      <c r="B8">
        <v>0.20200000000000001</v>
      </c>
    </row>
    <row r="9" spans="1:2">
      <c r="A9" t="s">
        <v>221</v>
      </c>
      <c r="B9">
        <v>0.1066</v>
      </c>
    </row>
    <row r="10" spans="1:2">
      <c r="A10" t="s">
        <v>222</v>
      </c>
      <c r="B10">
        <v>3.4599999999999999E-2</v>
      </c>
    </row>
    <row r="11" spans="1:2">
      <c r="A11" t="s">
        <v>223</v>
      </c>
      <c r="B11">
        <v>1.4500000000000001E-2</v>
      </c>
    </row>
    <row r="12" spans="1:2">
      <c r="A12" t="s">
        <v>224</v>
      </c>
      <c r="B12">
        <v>9.6000000000000009E-3</v>
      </c>
    </row>
    <row r="13" spans="1:2">
      <c r="A13" t="s">
        <v>225</v>
      </c>
      <c r="B13">
        <v>4.3E-3</v>
      </c>
    </row>
    <row r="14" spans="1:2">
      <c r="A14" t="s">
        <v>226</v>
      </c>
      <c r="B14">
        <v>6.1000000000000004E-3</v>
      </c>
    </row>
    <row r="15" spans="1:2">
      <c r="A15" t="s">
        <v>16</v>
      </c>
      <c r="B15">
        <v>3.3E-3</v>
      </c>
    </row>
    <row r="16" spans="1:2">
      <c r="A16" t="s">
        <v>227</v>
      </c>
      <c r="B16">
        <v>0.13439999999999999</v>
      </c>
    </row>
    <row r="17" spans="1:2">
      <c r="A17" t="s">
        <v>228</v>
      </c>
      <c r="B17">
        <v>0.32929999999999998</v>
      </c>
    </row>
    <row r="18" spans="1:2">
      <c r="A18" t="s">
        <v>229</v>
      </c>
      <c r="B18">
        <v>0.2034</v>
      </c>
    </row>
    <row r="19" spans="1:2">
      <c r="A19" t="s">
        <v>230</v>
      </c>
      <c r="B19">
        <v>8.8999999999999996E-2</v>
      </c>
    </row>
    <row r="20" spans="1:2">
      <c r="A20" t="s">
        <v>231</v>
      </c>
      <c r="B20">
        <v>0.1452</v>
      </c>
    </row>
    <row r="21" spans="1:2">
      <c r="A21" t="s">
        <v>232</v>
      </c>
      <c r="B21">
        <v>9.5100000000000004E-2</v>
      </c>
    </row>
    <row r="22" spans="1:2">
      <c r="A22" t="s">
        <v>24</v>
      </c>
      <c r="B22">
        <v>3.5999999999999999E-3</v>
      </c>
    </row>
    <row r="23" spans="1:2">
      <c r="A23" t="s">
        <v>233</v>
      </c>
      <c r="B23">
        <v>7.1000000000000004E-3</v>
      </c>
    </row>
    <row r="24" spans="1:2">
      <c r="A24" t="s">
        <v>234</v>
      </c>
      <c r="B24">
        <v>8.3600000000000008E-2</v>
      </c>
    </row>
    <row r="25" spans="1:2">
      <c r="A25" t="s">
        <v>235</v>
      </c>
      <c r="B25">
        <v>0.22889999999999999</v>
      </c>
    </row>
    <row r="26" spans="1:2">
      <c r="A26" t="s">
        <v>236</v>
      </c>
      <c r="B26">
        <v>0.35039999999999999</v>
      </c>
    </row>
    <row r="27" spans="1:2">
      <c r="A27" t="s">
        <v>237</v>
      </c>
      <c r="B27">
        <v>0.3296</v>
      </c>
    </row>
    <row r="28" spans="1:2">
      <c r="A28" t="s">
        <v>26</v>
      </c>
      <c r="B28">
        <v>4.0000000000000002E-4</v>
      </c>
    </row>
    <row r="29" spans="1:2">
      <c r="A29" t="s">
        <v>238</v>
      </c>
      <c r="B29">
        <v>2.3E-2</v>
      </c>
    </row>
    <row r="30" spans="1:2">
      <c r="A30" t="s">
        <v>239</v>
      </c>
      <c r="B30">
        <v>2.5700000000000001E-2</v>
      </c>
    </row>
    <row r="31" spans="1:2">
      <c r="A31" t="s">
        <v>240</v>
      </c>
      <c r="B31">
        <v>2.69E-2</v>
      </c>
    </row>
    <row r="32" spans="1:2">
      <c r="A32" t="s">
        <v>241</v>
      </c>
      <c r="B32">
        <v>2.6599999999999999E-2</v>
      </c>
    </row>
    <row r="33" spans="1:2">
      <c r="A33" t="s">
        <v>242</v>
      </c>
      <c r="B33">
        <v>5.1900000000000002E-2</v>
      </c>
    </row>
    <row r="34" spans="1:2">
      <c r="A34" t="s">
        <v>243</v>
      </c>
      <c r="B34">
        <v>7.1900000000000006E-2</v>
      </c>
    </row>
    <row r="35" spans="1:2">
      <c r="A35" t="s">
        <v>244</v>
      </c>
      <c r="B35">
        <v>4.4999999999999998E-2</v>
      </c>
    </row>
    <row r="36" spans="1:2">
      <c r="A36" t="s">
        <v>245</v>
      </c>
      <c r="B36">
        <v>0.1017</v>
      </c>
    </row>
    <row r="37" spans="1:2">
      <c r="A37" t="s">
        <v>246</v>
      </c>
      <c r="B37">
        <v>8.7800000000000003E-2</v>
      </c>
    </row>
    <row r="38" spans="1:2">
      <c r="A38" t="s">
        <v>247</v>
      </c>
      <c r="B38">
        <v>0.30409999999999998</v>
      </c>
    </row>
    <row r="39" spans="1:2">
      <c r="A39" t="s">
        <v>248</v>
      </c>
      <c r="B39">
        <v>0.2354</v>
      </c>
    </row>
    <row r="40" spans="1:2">
      <c r="A40" t="s">
        <v>249</v>
      </c>
      <c r="B40">
        <v>2.2700000000000001E-2</v>
      </c>
    </row>
    <row r="41" spans="1:2">
      <c r="A41" t="s">
        <v>250</v>
      </c>
      <c r="B41">
        <v>2.7799999999999998E-2</v>
      </c>
    </row>
    <row r="42" spans="1:2">
      <c r="A42" t="s">
        <v>251</v>
      </c>
      <c r="B42">
        <v>3.2199999999999999E-2</v>
      </c>
    </row>
    <row r="43" spans="1:2">
      <c r="A43" t="s">
        <v>252</v>
      </c>
      <c r="B43">
        <v>3.5000000000000003E-2</v>
      </c>
    </row>
    <row r="44" spans="1:2">
      <c r="A44" t="s">
        <v>253</v>
      </c>
      <c r="B44">
        <v>7.6499999999999999E-2</v>
      </c>
    </row>
    <row r="45" spans="1:2">
      <c r="A45" t="s">
        <v>254</v>
      </c>
      <c r="B45">
        <v>0.1242</v>
      </c>
    </row>
    <row r="46" spans="1:2">
      <c r="A46" t="s">
        <v>255</v>
      </c>
      <c r="B46">
        <v>8.4500000000000006E-2</v>
      </c>
    </row>
    <row r="47" spans="1:2">
      <c r="A47" t="s">
        <v>256</v>
      </c>
      <c r="B47">
        <v>7.5900000000000009E-2</v>
      </c>
    </row>
    <row r="48" spans="1:2">
      <c r="A48" t="s">
        <v>257</v>
      </c>
      <c r="B48">
        <v>0.5212</v>
      </c>
    </row>
    <row r="49" spans="1:2">
      <c r="A49" t="s">
        <v>258</v>
      </c>
      <c r="B49">
        <v>4.4600000000000001E-2</v>
      </c>
    </row>
    <row r="50" spans="1:2">
      <c r="A50" t="s">
        <v>259</v>
      </c>
      <c r="B50">
        <v>0.1464</v>
      </c>
    </row>
    <row r="51" spans="1:2">
      <c r="A51" t="s">
        <v>260</v>
      </c>
      <c r="B51">
        <v>8.2200000000000009E-2</v>
      </c>
    </row>
    <row r="52" spans="1:2">
      <c r="A52" t="s">
        <v>261</v>
      </c>
      <c r="B52">
        <v>0.1545</v>
      </c>
    </row>
    <row r="53" spans="1:2">
      <c r="A53" t="s">
        <v>262</v>
      </c>
      <c r="B53">
        <v>0.31119999999999998</v>
      </c>
    </row>
    <row r="54" spans="1:2">
      <c r="A54" t="s">
        <v>263</v>
      </c>
      <c r="B54">
        <v>1.4999999999999999E-2</v>
      </c>
    </row>
    <row r="55" spans="1:2">
      <c r="A55" t="s">
        <v>264</v>
      </c>
      <c r="B55">
        <v>0.27129999999999999</v>
      </c>
    </row>
    <row r="56" spans="1:2">
      <c r="A56" t="s">
        <v>265</v>
      </c>
      <c r="B56">
        <v>8.5400000000000004E-2</v>
      </c>
    </row>
    <row r="57" spans="1:2">
      <c r="A57" t="s">
        <v>266</v>
      </c>
      <c r="B57">
        <v>1.0999999999999999E-2</v>
      </c>
    </row>
    <row r="58" spans="1:2">
      <c r="A58" t="s">
        <v>267</v>
      </c>
    </row>
    <row r="59" spans="1:2">
      <c r="A59" t="s">
        <v>268</v>
      </c>
    </row>
    <row r="60" spans="1:2">
      <c r="A60" t="s">
        <v>269</v>
      </c>
    </row>
    <row r="61" spans="1:2">
      <c r="A61" t="s">
        <v>270</v>
      </c>
    </row>
    <row r="62" spans="1:2">
      <c r="A62" t="s">
        <v>271</v>
      </c>
    </row>
    <row r="63" spans="1:2">
      <c r="A63" t="s">
        <v>272</v>
      </c>
    </row>
    <row r="64" spans="1:2">
      <c r="A64" t="s">
        <v>273</v>
      </c>
    </row>
    <row r="65" spans="1:2">
      <c r="A65" t="s">
        <v>274</v>
      </c>
    </row>
    <row r="66" spans="1:2">
      <c r="A66" t="s">
        <v>275</v>
      </c>
    </row>
    <row r="67" spans="1:2">
      <c r="A67" t="s">
        <v>276</v>
      </c>
    </row>
    <row r="68" spans="1:2">
      <c r="A68" t="s">
        <v>277</v>
      </c>
    </row>
    <row r="69" spans="1:2">
      <c r="A69" t="s">
        <v>278</v>
      </c>
      <c r="B69">
        <v>1.4E-3</v>
      </c>
    </row>
    <row r="70" spans="1:2">
      <c r="A70" t="s">
        <v>279</v>
      </c>
      <c r="B70">
        <v>9.0000000000000008E-4</v>
      </c>
    </row>
    <row r="71" spans="1:2">
      <c r="A71" t="s">
        <v>280</v>
      </c>
      <c r="B71">
        <v>6.9999999999999999E-4</v>
      </c>
    </row>
    <row r="72" spans="1:2">
      <c r="A72" t="s">
        <v>281</v>
      </c>
      <c r="B72">
        <v>4.0000000000000002E-4</v>
      </c>
    </row>
    <row r="73" spans="1:2">
      <c r="A73" t="s">
        <v>282</v>
      </c>
      <c r="B73">
        <v>2.8799999999999999E-2</v>
      </c>
    </row>
    <row r="74" spans="1:2">
      <c r="A74" t="s">
        <v>283</v>
      </c>
      <c r="B74">
        <v>0.1047</v>
      </c>
    </row>
    <row r="75" spans="1:2">
      <c r="A75" t="s">
        <v>284</v>
      </c>
      <c r="B75">
        <v>7.2700000000000001E-2</v>
      </c>
    </row>
    <row r="76" spans="1:2">
      <c r="A76" t="s">
        <v>285</v>
      </c>
      <c r="B76">
        <v>0.18049999999999999</v>
      </c>
    </row>
    <row r="77" spans="1:2">
      <c r="A77" t="s">
        <v>286</v>
      </c>
      <c r="B77">
        <v>0.14349999999999999</v>
      </c>
    </row>
    <row r="78" spans="1:2">
      <c r="A78" t="s">
        <v>287</v>
      </c>
      <c r="B78">
        <v>0.35339999999999999</v>
      </c>
    </row>
    <row r="79" spans="1:2">
      <c r="A79" t="s">
        <v>288</v>
      </c>
      <c r="B79">
        <v>0.113</v>
      </c>
    </row>
    <row r="80" spans="1:2">
      <c r="A80" t="s">
        <v>289</v>
      </c>
      <c r="B80">
        <v>1.4E-3</v>
      </c>
    </row>
    <row r="81" spans="1:2">
      <c r="A81" t="s">
        <v>290</v>
      </c>
      <c r="B81">
        <v>1.8200000000000001E-2</v>
      </c>
    </row>
    <row r="82" spans="1:2">
      <c r="A82" t="s">
        <v>291</v>
      </c>
      <c r="B82">
        <v>2.7E-2</v>
      </c>
    </row>
    <row r="83" spans="1:2">
      <c r="A83" t="s">
        <v>292</v>
      </c>
      <c r="B83">
        <v>3.3799999999999997E-2</v>
      </c>
    </row>
    <row r="84" spans="1:2">
      <c r="A84" t="s">
        <v>293</v>
      </c>
      <c r="B84">
        <v>7.5499999999999998E-2</v>
      </c>
    </row>
    <row r="85" spans="1:2">
      <c r="A85" t="s">
        <v>294</v>
      </c>
      <c r="B85">
        <v>0.12609999999999999</v>
      </c>
    </row>
    <row r="86" spans="1:2">
      <c r="A86" t="s">
        <v>295</v>
      </c>
      <c r="B86">
        <v>8.1000000000000003E-2</v>
      </c>
    </row>
    <row r="87" spans="1:2">
      <c r="A87" t="s">
        <v>296</v>
      </c>
      <c r="B87">
        <v>7.3999999999999996E-2</v>
      </c>
    </row>
    <row r="88" spans="1:2">
      <c r="A88" t="s">
        <v>297</v>
      </c>
      <c r="B88">
        <v>0.56310000000000004</v>
      </c>
    </row>
    <row r="89" spans="1:2">
      <c r="A89" t="s">
        <v>298</v>
      </c>
    </row>
    <row r="90" spans="1:2">
      <c r="A90" t="s">
        <v>299</v>
      </c>
    </row>
    <row r="91" spans="1:2">
      <c r="A91" t="s">
        <v>300</v>
      </c>
    </row>
    <row r="92" spans="1:2">
      <c r="A92" t="s">
        <v>301</v>
      </c>
    </row>
    <row r="93" spans="1:2">
      <c r="A93" t="s">
        <v>302</v>
      </c>
    </row>
    <row r="94" spans="1:2">
      <c r="A94" t="s">
        <v>303</v>
      </c>
    </row>
    <row r="95" spans="1:2">
      <c r="A95" t="s">
        <v>304</v>
      </c>
    </row>
    <row r="96" spans="1:2">
      <c r="A96" t="s">
        <v>305</v>
      </c>
    </row>
    <row r="97" spans="1:1">
      <c r="A97" t="s">
        <v>306</v>
      </c>
    </row>
    <row r="98" spans="1:1">
      <c r="A98" t="s">
        <v>307</v>
      </c>
    </row>
    <row r="99" spans="1:1">
      <c r="A99" t="s">
        <v>308</v>
      </c>
    </row>
    <row r="100" spans="1:1">
      <c r="A100" t="s">
        <v>309</v>
      </c>
    </row>
    <row r="101" spans="1:1">
      <c r="A101" t="s">
        <v>310</v>
      </c>
    </row>
    <row r="102" spans="1:1">
      <c r="A102" t="s">
        <v>311</v>
      </c>
    </row>
    <row r="103" spans="1:1">
      <c r="A103" t="s">
        <v>312</v>
      </c>
    </row>
    <row r="104" spans="1:1">
      <c r="A104" t="s">
        <v>313</v>
      </c>
    </row>
    <row r="105" spans="1:1">
      <c r="A105" t="s">
        <v>314</v>
      </c>
    </row>
    <row r="106" spans="1:1">
      <c r="A106" t="s">
        <v>315</v>
      </c>
    </row>
    <row r="107" spans="1:1">
      <c r="A107" t="s">
        <v>316</v>
      </c>
    </row>
    <row r="108" spans="1:1">
      <c r="A108" t="s">
        <v>317</v>
      </c>
    </row>
    <row r="109" spans="1:1">
      <c r="A109" t="s">
        <v>318</v>
      </c>
    </row>
    <row r="110" spans="1:1">
      <c r="A110" t="s">
        <v>319</v>
      </c>
    </row>
    <row r="111" spans="1:1">
      <c r="A111" t="s">
        <v>320</v>
      </c>
    </row>
    <row r="112" spans="1:1">
      <c r="A112" t="s">
        <v>321</v>
      </c>
    </row>
    <row r="113" spans="1:1">
      <c r="A113" t="s">
        <v>322</v>
      </c>
    </row>
    <row r="114" spans="1:1">
      <c r="A114" t="s">
        <v>323</v>
      </c>
    </row>
    <row r="115" spans="1:1">
      <c r="A115" t="s">
        <v>324</v>
      </c>
    </row>
    <row r="116" spans="1:1">
      <c r="A116" t="s">
        <v>325</v>
      </c>
    </row>
    <row r="117" spans="1:1">
      <c r="A117" t="s">
        <v>326</v>
      </c>
    </row>
    <row r="118" spans="1:1">
      <c r="A118" t="s">
        <v>327</v>
      </c>
    </row>
    <row r="119" spans="1:1">
      <c r="A119" t="s">
        <v>328</v>
      </c>
    </row>
    <row r="120" spans="1:1">
      <c r="A120" t="s">
        <v>329</v>
      </c>
    </row>
    <row r="121" spans="1:1">
      <c r="A121" t="s">
        <v>330</v>
      </c>
    </row>
    <row r="122" spans="1:1">
      <c r="A122" t="s">
        <v>331</v>
      </c>
    </row>
    <row r="123" spans="1:1">
      <c r="A123" t="s">
        <v>332</v>
      </c>
    </row>
    <row r="124" spans="1:1">
      <c r="A124" t="s">
        <v>333</v>
      </c>
    </row>
    <row r="125" spans="1:1">
      <c r="A125" t="s">
        <v>334</v>
      </c>
    </row>
    <row r="126" spans="1:1">
      <c r="A126" t="s">
        <v>335</v>
      </c>
    </row>
    <row r="127" spans="1:1">
      <c r="A127" t="s">
        <v>336</v>
      </c>
    </row>
    <row r="128" spans="1:1">
      <c r="A128" t="s">
        <v>337</v>
      </c>
    </row>
    <row r="129" spans="1:2">
      <c r="A129" t="s">
        <v>338</v>
      </c>
    </row>
    <row r="130" spans="1:2">
      <c r="A130" t="s">
        <v>339</v>
      </c>
    </row>
    <row r="131" spans="1:2">
      <c r="A131" t="s">
        <v>340</v>
      </c>
    </row>
    <row r="132" spans="1:2">
      <c r="A132" t="s">
        <v>341</v>
      </c>
      <c r="B132">
        <v>0.61730000000000007</v>
      </c>
    </row>
    <row r="133" spans="1:2">
      <c r="A133" t="s">
        <v>342</v>
      </c>
      <c r="B133">
        <v>0.57469999999999999</v>
      </c>
    </row>
    <row r="134" spans="1:2">
      <c r="A134" t="s">
        <v>343</v>
      </c>
      <c r="B134">
        <v>0.49490000000000001</v>
      </c>
    </row>
    <row r="135" spans="1:2">
      <c r="A135" t="s">
        <v>344</v>
      </c>
      <c r="B135">
        <v>0.38019999999999998</v>
      </c>
    </row>
    <row r="136" spans="1:2">
      <c r="A136" t="s">
        <v>345</v>
      </c>
      <c r="B136">
        <v>0.39439999999999997</v>
      </c>
    </row>
    <row r="137" spans="1:2">
      <c r="A137" t="s">
        <v>346</v>
      </c>
      <c r="B137">
        <v>0.32769999999999999</v>
      </c>
    </row>
    <row r="138" spans="1:2">
      <c r="A138" t="s">
        <v>347</v>
      </c>
      <c r="B138">
        <v>0.27210000000000001</v>
      </c>
    </row>
    <row r="139" spans="1:2">
      <c r="A139" t="s">
        <v>348</v>
      </c>
      <c r="B139">
        <v>0.24970000000000001</v>
      </c>
    </row>
    <row r="140" spans="1:2">
      <c r="A140" t="s">
        <v>349</v>
      </c>
      <c r="B140">
        <v>0.15579999999999999</v>
      </c>
    </row>
    <row r="141" spans="1:2">
      <c r="A141" t="s">
        <v>350</v>
      </c>
      <c r="B141">
        <v>0.14280000000000001</v>
      </c>
    </row>
    <row r="142" spans="1:2">
      <c r="A142" t="s">
        <v>351</v>
      </c>
      <c r="B142">
        <v>7.6999999999999999E-2</v>
      </c>
    </row>
    <row r="143" spans="1:2">
      <c r="A143" t="s">
        <v>352</v>
      </c>
      <c r="B143">
        <v>3.8399999999999997E-2</v>
      </c>
    </row>
    <row r="144" spans="1:2">
      <c r="A144" t="s">
        <v>353</v>
      </c>
      <c r="B144">
        <v>1.84E-2</v>
      </c>
    </row>
    <row r="145" spans="1:2">
      <c r="A145" t="s">
        <v>354</v>
      </c>
      <c r="B145">
        <v>1.4E-3</v>
      </c>
    </row>
    <row r="146" spans="1:2">
      <c r="A146" t="s">
        <v>355</v>
      </c>
      <c r="B146">
        <v>1.2999999999999999E-3</v>
      </c>
    </row>
    <row r="147" spans="1:2">
      <c r="A147" t="s">
        <v>356</v>
      </c>
      <c r="B147">
        <v>9.0000000000000008E-4</v>
      </c>
    </row>
    <row r="148" spans="1:2">
      <c r="A148" t="s">
        <v>357</v>
      </c>
      <c r="B148">
        <v>2.9999999999999997E-4</v>
      </c>
    </row>
    <row r="149" spans="1:2">
      <c r="A149" t="s">
        <v>358</v>
      </c>
      <c r="B149">
        <v>5.0000000000000001E-4</v>
      </c>
    </row>
    <row r="150" spans="1:2">
      <c r="A150" t="s">
        <v>359</v>
      </c>
    </row>
    <row r="151" spans="1:2">
      <c r="A151" t="s">
        <v>360</v>
      </c>
    </row>
    <row r="152" spans="1:2">
      <c r="A152" t="s">
        <v>361</v>
      </c>
    </row>
    <row r="153" spans="1:2">
      <c r="A153" t="s">
        <v>362</v>
      </c>
    </row>
    <row r="154" spans="1:2">
      <c r="A154" t="s">
        <v>363</v>
      </c>
    </row>
    <row r="155" spans="1:2">
      <c r="A155" t="s">
        <v>364</v>
      </c>
    </row>
    <row r="156" spans="1:2">
      <c r="A156" t="s">
        <v>365</v>
      </c>
    </row>
    <row r="157" spans="1:2">
      <c r="A157" t="s">
        <v>366</v>
      </c>
    </row>
    <row r="158" spans="1:2">
      <c r="A158" t="s">
        <v>367</v>
      </c>
    </row>
    <row r="159" spans="1:2">
      <c r="A159" t="s">
        <v>368</v>
      </c>
    </row>
    <row r="160" spans="1:2">
      <c r="A160" t="s">
        <v>369</v>
      </c>
    </row>
    <row r="161" spans="1:1">
      <c r="A161" t="s">
        <v>370</v>
      </c>
    </row>
    <row r="162" spans="1:1">
      <c r="A162" t="s">
        <v>371</v>
      </c>
    </row>
    <row r="163" spans="1:1">
      <c r="A163" t="s">
        <v>372</v>
      </c>
    </row>
    <row r="164" spans="1:1">
      <c r="A164" t="s">
        <v>373</v>
      </c>
    </row>
    <row r="165" spans="1:1">
      <c r="A165" t="s">
        <v>374</v>
      </c>
    </row>
    <row r="166" spans="1:1">
      <c r="A166" t="s">
        <v>375</v>
      </c>
    </row>
    <row r="167" spans="1:1">
      <c r="A167" t="s">
        <v>376</v>
      </c>
    </row>
    <row r="168" spans="1:1">
      <c r="A168" t="s">
        <v>377</v>
      </c>
    </row>
    <row r="169" spans="1:1">
      <c r="A169" t="s">
        <v>378</v>
      </c>
    </row>
    <row r="170" spans="1:1">
      <c r="A170" t="s">
        <v>379</v>
      </c>
    </row>
    <row r="171" spans="1:1">
      <c r="A171" t="s">
        <v>380</v>
      </c>
    </row>
    <row r="172" spans="1:1">
      <c r="A172" t="s">
        <v>381</v>
      </c>
    </row>
    <row r="173" spans="1:1">
      <c r="A173" t="s">
        <v>382</v>
      </c>
    </row>
    <row r="174" spans="1:1">
      <c r="A174" t="s">
        <v>383</v>
      </c>
    </row>
    <row r="175" spans="1:1">
      <c r="A175" t="s">
        <v>384</v>
      </c>
    </row>
    <row r="176" spans="1:1">
      <c r="A176" t="s">
        <v>385</v>
      </c>
    </row>
    <row r="177" spans="1:1">
      <c r="A177" t="s">
        <v>386</v>
      </c>
    </row>
    <row r="178" spans="1:1">
      <c r="A178" t="s">
        <v>387</v>
      </c>
    </row>
    <row r="179" spans="1:1">
      <c r="A179" t="s">
        <v>388</v>
      </c>
    </row>
    <row r="180" spans="1:1">
      <c r="A180" t="s">
        <v>389</v>
      </c>
    </row>
    <row r="181" spans="1:1">
      <c r="A181" t="s">
        <v>390</v>
      </c>
    </row>
    <row r="182" spans="1:1">
      <c r="A182" t="s">
        <v>391</v>
      </c>
    </row>
    <row r="183" spans="1:1">
      <c r="A183" t="s">
        <v>392</v>
      </c>
    </row>
    <row r="184" spans="1:1">
      <c r="A184" t="s">
        <v>393</v>
      </c>
    </row>
    <row r="185" spans="1:1">
      <c r="A185" t="s">
        <v>394</v>
      </c>
    </row>
    <row r="186" spans="1:1">
      <c r="A186" t="s">
        <v>395</v>
      </c>
    </row>
    <row r="187" spans="1:1">
      <c r="A187" t="s">
        <v>396</v>
      </c>
    </row>
    <row r="188" spans="1:1">
      <c r="A188" t="s">
        <v>397</v>
      </c>
    </row>
    <row r="189" spans="1:1">
      <c r="A189" t="s">
        <v>398</v>
      </c>
    </row>
    <row r="190" spans="1:1">
      <c r="A190" t="s">
        <v>399</v>
      </c>
    </row>
    <row r="191" spans="1:1">
      <c r="A191" t="s">
        <v>400</v>
      </c>
    </row>
    <row r="192" spans="1:1">
      <c r="A192" t="s">
        <v>401</v>
      </c>
    </row>
    <row r="193" spans="1:1">
      <c r="A193" t="s">
        <v>402</v>
      </c>
    </row>
    <row r="194" spans="1:1">
      <c r="A194" t="s">
        <v>403</v>
      </c>
    </row>
    <row r="195" spans="1:1">
      <c r="A195" t="s">
        <v>404</v>
      </c>
    </row>
    <row r="196" spans="1:1">
      <c r="A196" t="s">
        <v>405</v>
      </c>
    </row>
    <row r="197" spans="1:1">
      <c r="A197" t="s">
        <v>406</v>
      </c>
    </row>
    <row r="198" spans="1:1">
      <c r="A198" t="s">
        <v>407</v>
      </c>
    </row>
    <row r="199" spans="1:1">
      <c r="A199" t="s">
        <v>408</v>
      </c>
    </row>
    <row r="200" spans="1:1">
      <c r="A200" t="s">
        <v>409</v>
      </c>
    </row>
    <row r="201" spans="1:1">
      <c r="A201" t="s">
        <v>410</v>
      </c>
    </row>
    <row r="202" spans="1:1">
      <c r="A202" t="s">
        <v>411</v>
      </c>
    </row>
    <row r="203" spans="1:1">
      <c r="A203" t="s">
        <v>412</v>
      </c>
    </row>
    <row r="204" spans="1:1">
      <c r="A204" t="s">
        <v>413</v>
      </c>
    </row>
    <row r="205" spans="1:1">
      <c r="A205" t="s">
        <v>414</v>
      </c>
    </row>
    <row r="206" spans="1:1">
      <c r="A206" t="s">
        <v>415</v>
      </c>
    </row>
    <row r="207" spans="1:1">
      <c r="A207" t="s">
        <v>416</v>
      </c>
    </row>
    <row r="208" spans="1:1">
      <c r="A208" t="s">
        <v>417</v>
      </c>
    </row>
    <row r="209" spans="1:1">
      <c r="A209" t="s">
        <v>418</v>
      </c>
    </row>
    <row r="210" spans="1:1">
      <c r="A210" t="s">
        <v>419</v>
      </c>
    </row>
    <row r="211" spans="1:1">
      <c r="A211" t="s">
        <v>420</v>
      </c>
    </row>
    <row r="212" spans="1:1">
      <c r="A212" t="s">
        <v>421</v>
      </c>
    </row>
    <row r="213" spans="1:1">
      <c r="A213" t="s">
        <v>422</v>
      </c>
    </row>
    <row r="214" spans="1:1">
      <c r="A214" t="s">
        <v>423</v>
      </c>
    </row>
    <row r="215" spans="1:1">
      <c r="A215" t="s">
        <v>424</v>
      </c>
    </row>
    <row r="216" spans="1:1">
      <c r="A216" t="s">
        <v>425</v>
      </c>
    </row>
    <row r="217" spans="1:1">
      <c r="A217" t="s">
        <v>426</v>
      </c>
    </row>
    <row r="218" spans="1:1">
      <c r="A218" t="s">
        <v>427</v>
      </c>
    </row>
    <row r="219" spans="1:1">
      <c r="A219" t="s">
        <v>428</v>
      </c>
    </row>
    <row r="220" spans="1:1">
      <c r="A220" t="s">
        <v>429</v>
      </c>
    </row>
    <row r="221" spans="1:1">
      <c r="A221" t="s">
        <v>430</v>
      </c>
    </row>
    <row r="222" spans="1:1">
      <c r="A222" t="s">
        <v>431</v>
      </c>
    </row>
    <row r="223" spans="1:1">
      <c r="A223" t="s">
        <v>432</v>
      </c>
    </row>
    <row r="224" spans="1:1">
      <c r="A224" t="s">
        <v>433</v>
      </c>
    </row>
    <row r="225" spans="1:1">
      <c r="A225" t="s">
        <v>434</v>
      </c>
    </row>
    <row r="226" spans="1:1">
      <c r="A226" t="s">
        <v>435</v>
      </c>
    </row>
    <row r="227" spans="1:1">
      <c r="A227" t="s">
        <v>436</v>
      </c>
    </row>
    <row r="228" spans="1:1">
      <c r="A228" t="s">
        <v>437</v>
      </c>
    </row>
    <row r="229" spans="1:1">
      <c r="A229" t="s">
        <v>438</v>
      </c>
    </row>
    <row r="230" spans="1:1">
      <c r="A230" t="s">
        <v>439</v>
      </c>
    </row>
    <row r="231" spans="1:1">
      <c r="A231" t="s">
        <v>440</v>
      </c>
    </row>
    <row r="232" spans="1:1">
      <c r="A232" t="s">
        <v>441</v>
      </c>
    </row>
    <row r="233" spans="1:1">
      <c r="A233" t="s">
        <v>442</v>
      </c>
    </row>
    <row r="234" spans="1:1">
      <c r="A234" t="s">
        <v>443</v>
      </c>
    </row>
    <row r="235" spans="1:1">
      <c r="A235" t="s">
        <v>444</v>
      </c>
    </row>
    <row r="236" spans="1:1">
      <c r="A236" t="s">
        <v>445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3</vt:lpstr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Sylas Xia</dc:creator>
  <cp:lastModifiedBy>Sylas Xia</cp:lastModifiedBy>
  <dcterms:created xsi:type="dcterms:W3CDTF">2023-09-04T10:02:27Z</dcterms:created>
  <dcterms:modified xsi:type="dcterms:W3CDTF">2026-07-22T09:23:05Z</dcterms:modified>
</cp:coreProperties>
</file>